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larrypowell/Google Drive/Model/"/>
    </mc:Choice>
  </mc:AlternateContent>
  <xr:revisionPtr revIDLastSave="0" documentId="13_ncr:1_{3C9F83DF-0D4B-BC40-BB47-18BE01816F6B}" xr6:coauthVersionLast="40" xr6:coauthVersionMax="40" xr10:uidLastSave="{00000000-0000-0000-0000-000000000000}"/>
  <bookViews>
    <workbookView xWindow="0" yWindow="460" windowWidth="25600" windowHeight="16000" tabRatio="500" xr2:uid="{00000000-000D-0000-FFFF-FFFF00000000}"/>
  </bookViews>
  <sheets>
    <sheet name="SPOTSPA &amp; SPXFAST" sheetId="1" r:id="rId1"/>
  </sheets>
  <externalReferences>
    <externalReference r:id="rId2"/>
  </externalReferences>
  <definedNames>
    <definedName name="BLPI3" localSheetId="0" hidden="1">#REF!</definedName>
    <definedName name="BLPI3" hidden="1">#REF!</definedName>
    <definedName name="BLPI4" localSheetId="0" hidden="1">#REF!</definedName>
    <definedName name="BLPI4" hidden="1">#REF!</definedName>
    <definedName name="Daily__C" help="!" xlm="1" shortcutKey="z">[1]DAILY.XLM!$B$1</definedName>
    <definedName name="eightus_m" help="!" xlm="1" shortcutKey="m">[1]DAILY.XLM!$D$1</definedName>
    <definedName name="N335\">'[1]2.XLS'!#REF!</definedName>
    <definedName name="Scott_Div_Dates">OFFSET([1]PxData!$A$2,0,0,COUNTA([1]PxData!$A:$A)-1,1)</definedName>
    <definedName name="Scott_Px_Dates">OFFSET([1]PxData!$A$2,0,0,COUNTA([1]PxData!$A:$A)-1,1)</definedName>
    <definedName name="Signal__A" xlm="1" shortcutKey="A">[1]DAILY.XLM!$L$2</definedName>
    <definedName name="Signals__P" xlm="1" shortcutKey="P">[1]DAILY.XLM!$N$2</definedName>
    <definedName name="Text__T" xlm="1" shortcutKey="T">[1]DAILY.XLM!$J$2:$J$18</definedName>
    <definedName name="threeUS" description="Enters 3:00 Data into US Models" help="!" xlm="1" shortcutKey="t">[1]DAILY.XLM!$F$1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C12" i="1"/>
  <c r="F9" i="1"/>
  <c r="L1" i="1"/>
  <c r="H9" i="1" s="1"/>
  <c r="D3" i="1"/>
  <c r="D2" i="1"/>
  <c r="F6" i="1"/>
  <c r="F5" i="1"/>
  <c r="L4" i="1"/>
  <c r="L3" i="1"/>
  <c r="L2" i="1"/>
  <c r="D4" i="1"/>
  <c r="F10" i="1" s="1"/>
  <c r="E6" i="1"/>
  <c r="D6" i="1"/>
  <c r="D5" i="1"/>
  <c r="E5" i="1"/>
  <c r="H11" i="1"/>
  <c r="H12" i="1"/>
  <c r="G6" i="1"/>
  <c r="G5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A13" i="1"/>
  <c r="E13" i="1"/>
  <c r="J5" i="1" s="1"/>
  <c r="C13" i="1"/>
  <c r="D13" i="1"/>
  <c r="J6" i="1" s="1"/>
  <c r="I5" i="1"/>
  <c r="I6" i="1" l="1"/>
  <c r="H10" i="1"/>
</calcChain>
</file>

<file path=xl/sharedStrings.xml><?xml version="1.0" encoding="utf-8"?>
<sst xmlns="http://schemas.openxmlformats.org/spreadsheetml/2006/main" count="37" uniqueCount="32">
  <si>
    <t>Ticker</t>
  </si>
  <si>
    <t>Last Price</t>
  </si>
  <si>
    <t>Volume</t>
  </si>
  <si>
    <t>Open Interest</t>
  </si>
  <si>
    <t>Expiration</t>
  </si>
  <si>
    <t>Today's Date</t>
  </si>
  <si>
    <t>SPXFAST Index</t>
  </si>
  <si>
    <t>Default BB Roll Date</t>
  </si>
  <si>
    <t>spx index</t>
  </si>
  <si>
    <t>Front Month Expiration Date</t>
  </si>
  <si>
    <t>Spotspa</t>
  </si>
  <si>
    <t>CMESSPA Index</t>
  </si>
  <si>
    <t>High</t>
  </si>
  <si>
    <t>Low</t>
  </si>
  <si>
    <t>SP1 index</t>
  </si>
  <si>
    <t>SPOTSPA</t>
  </si>
  <si>
    <t>SP2 index</t>
  </si>
  <si>
    <t>Calculated Spread</t>
  </si>
  <si>
    <t>BarTp=T</t>
  </si>
  <si>
    <t>Start Time</t>
  </si>
  <si>
    <t>Date</t>
  </si>
  <si>
    <t>End Time</t>
  </si>
  <si>
    <t>DONT CHANGE</t>
  </si>
  <si>
    <t>User Inputs</t>
  </si>
  <si>
    <t>LAST_PRICE</t>
  </si>
  <si>
    <t>Current Time</t>
  </si>
  <si>
    <t>Current Spread (F-S)</t>
  </si>
  <si>
    <t>Spread</t>
  </si>
  <si>
    <t>DISPLAY</t>
  </si>
  <si>
    <t>Default</t>
  </si>
  <si>
    <t>esm9</t>
  </si>
  <si>
    <t>esh9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</si>
</sst>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m/d/yy;@"/>
    <numFmt numFmtId="166" formatCode="h:mm:ss;@"/>
    <numFmt numFmtId="167" formatCode="m/d/yyyy\ h:mm:ss\ AM/PM"/>
    <numFmt numFmtId="168" formatCode="General_)"/>
  </numFmts>
  <fonts count="7" x14ac:knownFonts="1"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color theme="5" tint="-0.249977111117893"/>
      <name val="Arial"/>
      <family val="2"/>
    </font>
    <font>
      <b/>
      <sz val="10"/>
      <name val="Arial"/>
      <family val="2"/>
    </font>
    <font>
      <sz val="10"/>
      <color theme="0" tint="-0.34998626667073579"/>
      <name val="Arial"/>
      <family val="2"/>
    </font>
    <font>
      <sz val="10"/>
      <color rgb="FFFF0000"/>
      <name val="Arial"/>
      <family val="2"/>
    </font>
    <font>
      <sz val="10"/>
      <name val="Courier"/>
      <family val="3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" fillId="0" borderId="0"/>
    <xf numFmtId="43" fontId="1" fillId="0" borderId="0" applyFont="0" applyFill="0" applyBorder="0" applyAlignment="0" applyProtection="0"/>
    <xf numFmtId="168" fontId="6" fillId="0" borderId="0"/>
  </cellStyleXfs>
  <cellXfs count="51">
    <xf numFmtId="0" fontId="0" fillId="0" borderId="0" xfId="0"/>
    <xf numFmtId="0" fontId="1" fillId="0" borderId="0" xfId="1"/>
    <xf numFmtId="0" fontId="2" fillId="0" borderId="0" xfId="1" applyFont="1"/>
    <xf numFmtId="0" fontId="2" fillId="0" borderId="0" xfId="1" applyFont="1" applyAlignment="1">
      <alignment horizontal="center"/>
    </xf>
    <xf numFmtId="14" fontId="1" fillId="0" borderId="0" xfId="1" applyNumberFormat="1"/>
    <xf numFmtId="0" fontId="3" fillId="0" borderId="0" xfId="1" applyFont="1"/>
    <xf numFmtId="2" fontId="1" fillId="0" borderId="0" xfId="1" applyNumberFormat="1"/>
    <xf numFmtId="0" fontId="1" fillId="0" borderId="0" xfId="1" applyFont="1"/>
    <xf numFmtId="164" fontId="0" fillId="0" borderId="0" xfId="2" applyNumberFormat="1" applyFont="1"/>
    <xf numFmtId="165" fontId="1" fillId="0" borderId="0" xfId="1" applyNumberFormat="1"/>
    <xf numFmtId="4" fontId="1" fillId="0" borderId="0" xfId="1" applyNumberFormat="1"/>
    <xf numFmtId="0" fontId="4" fillId="2" borderId="1" xfId="1" applyFont="1" applyFill="1" applyBorder="1"/>
    <xf numFmtId="21" fontId="1" fillId="0" borderId="0" xfId="1" applyNumberFormat="1"/>
    <xf numFmtId="0" fontId="4" fillId="2" borderId="2" xfId="1" applyFont="1" applyFill="1" applyBorder="1"/>
    <xf numFmtId="0" fontId="4" fillId="0" borderId="0" xfId="1" applyFont="1"/>
    <xf numFmtId="21" fontId="4" fillId="0" borderId="0" xfId="1" applyNumberFormat="1" applyFont="1"/>
    <xf numFmtId="0" fontId="1" fillId="0" borderId="3" xfId="1" applyFont="1" applyBorder="1"/>
    <xf numFmtId="0" fontId="4" fillId="2" borderId="5" xfId="1" applyFont="1" applyFill="1" applyBorder="1"/>
    <xf numFmtId="0" fontId="1" fillId="0" borderId="0" xfId="1" applyBorder="1"/>
    <xf numFmtId="0" fontId="1" fillId="5" borderId="0" xfId="1" applyFont="1" applyFill="1" applyBorder="1"/>
    <xf numFmtId="166" fontId="1" fillId="5" borderId="0" xfId="1" applyNumberFormat="1" applyFill="1" applyBorder="1"/>
    <xf numFmtId="0" fontId="5" fillId="0" borderId="6" xfId="1" applyFont="1" applyBorder="1"/>
    <xf numFmtId="14" fontId="1" fillId="6" borderId="4" xfId="1" applyNumberFormat="1" applyFill="1" applyBorder="1" applyAlignment="1">
      <alignment horizontal="center"/>
    </xf>
    <xf numFmtId="0" fontId="1" fillId="4" borderId="4" xfId="1" applyFont="1" applyFill="1" applyBorder="1"/>
    <xf numFmtId="167" fontId="1" fillId="0" borderId="0" xfId="1" applyNumberFormat="1" applyBorder="1"/>
    <xf numFmtId="0" fontId="1" fillId="0" borderId="7" xfId="1" applyBorder="1"/>
    <xf numFmtId="2" fontId="1" fillId="0" borderId="8" xfId="1" applyNumberFormat="1" applyBorder="1"/>
    <xf numFmtId="21" fontId="1" fillId="6" borderId="4" xfId="1" applyNumberFormat="1" applyFill="1" applyBorder="1" applyAlignment="1">
      <alignment horizontal="center"/>
    </xf>
    <xf numFmtId="2" fontId="1" fillId="0" borderId="0" xfId="1" applyNumberFormat="1" applyBorder="1"/>
    <xf numFmtId="0" fontId="1" fillId="0" borderId="9" xfId="1" applyBorder="1"/>
    <xf numFmtId="0" fontId="1" fillId="7" borderId="9" xfId="1" applyFont="1" applyFill="1" applyBorder="1"/>
    <xf numFmtId="43" fontId="1" fillId="0" borderId="9" xfId="2" applyFont="1" applyBorder="1"/>
    <xf numFmtId="0" fontId="1" fillId="0" borderId="9" xfId="1" applyFont="1" applyFill="1" applyBorder="1"/>
    <xf numFmtId="0" fontId="1" fillId="0" borderId="10" xfId="1" applyBorder="1"/>
    <xf numFmtId="0" fontId="5" fillId="0" borderId="11" xfId="1" applyFont="1" applyBorder="1"/>
    <xf numFmtId="0" fontId="1" fillId="6" borderId="4" xfId="1" applyFill="1" applyBorder="1" applyAlignment="1">
      <alignment horizontal="center"/>
    </xf>
    <xf numFmtId="22" fontId="1" fillId="8" borderId="0" xfId="1" applyNumberFormat="1" applyFill="1"/>
    <xf numFmtId="0" fontId="0" fillId="8" borderId="0" xfId="2" applyNumberFormat="1" applyFont="1" applyFill="1"/>
    <xf numFmtId="2" fontId="0" fillId="0" borderId="0" xfId="2" applyNumberFormat="1" applyFont="1"/>
    <xf numFmtId="0" fontId="1" fillId="0" borderId="0" xfId="1" applyNumberFormat="1"/>
    <xf numFmtId="22" fontId="1" fillId="0" borderId="0" xfId="1" applyNumberFormat="1"/>
    <xf numFmtId="0" fontId="0" fillId="0" borderId="0" xfId="2" applyNumberFormat="1" applyFont="1"/>
    <xf numFmtId="43" fontId="1" fillId="0" borderId="0" xfId="1" applyNumberFormat="1" applyFont="1"/>
    <xf numFmtId="43" fontId="0" fillId="0" borderId="0" xfId="2" applyFont="1"/>
    <xf numFmtId="43" fontId="6" fillId="7" borderId="9" xfId="2" applyFont="1" applyFill="1" applyBorder="1"/>
    <xf numFmtId="0" fontId="0" fillId="0" borderId="0" xfId="0"/>
    <xf numFmtId="0" fontId="1" fillId="0" borderId="0" xfId="1"/>
    <xf numFmtId="2" fontId="1" fillId="0" borderId="0" xfId="1" applyNumberFormat="1"/>
    <xf numFmtId="0" fontId="1" fillId="3" borderId="0" xfId="1" applyFill="1"/>
    <xf numFmtId="0" fontId="1" fillId="4" borderId="12" xfId="1" applyFont="1" applyFill="1" applyBorder="1" applyAlignment="1">
      <alignment horizontal="center"/>
    </xf>
    <xf numFmtId="0" fontId="1" fillId="4" borderId="13" xfId="1" applyFont="1" applyFill="1" applyBorder="1" applyAlignment="1">
      <alignment horizontal="center"/>
    </xf>
  </cellXfs>
  <cellStyles count="4">
    <cellStyle name="Comma 2" xfId="2" xr:uid="{00000000-0005-0000-0000-000000000000}"/>
    <cellStyle name="Normal" xfId="0" builtinId="0"/>
    <cellStyle name="Normal 2" xfId="1" xr:uid="{00000000-0005-0000-0000-000002000000}"/>
    <cellStyle name="Normal 3" xfId="3" xr:uid="{00000000-0005-0000-0000-000003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l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.XLS"/>
      <sheetName val="PxData"/>
      <sheetName val="SPOTSPA &amp; SPXFAST"/>
      <sheetName val="LIVE.XLS"/>
      <sheetName val="Spread.xls"/>
      <sheetName val="Signals.xls"/>
      <sheetName val="1.XLS"/>
      <sheetName val="2.XLS"/>
      <sheetName val="3.XLS"/>
      <sheetName val="Parameters.XLS"/>
      <sheetName val="RVLBLT.XLS"/>
      <sheetName val="DAILY.XLM"/>
      <sheetName val="Fridays"/>
      <sheetName val="Sheet1"/>
    </sheetNames>
    <sheetDataSet>
      <sheetData sheetId="0"/>
      <sheetData sheetId="1">
        <row r="1">
          <cell r="A1" t="str">
            <v>Date</v>
          </cell>
        </row>
        <row r="2">
          <cell r="A2">
            <v>41220</v>
          </cell>
        </row>
        <row r="3">
          <cell r="A3">
            <v>41221</v>
          </cell>
        </row>
        <row r="4">
          <cell r="A4">
            <v>41222</v>
          </cell>
        </row>
        <row r="5">
          <cell r="A5">
            <v>41225</v>
          </cell>
        </row>
        <row r="6">
          <cell r="A6">
            <v>41226</v>
          </cell>
        </row>
        <row r="7">
          <cell r="A7">
            <v>41227</v>
          </cell>
        </row>
        <row r="8">
          <cell r="A8">
            <v>41228</v>
          </cell>
        </row>
        <row r="9">
          <cell r="A9">
            <v>41229</v>
          </cell>
        </row>
        <row r="10">
          <cell r="A10">
            <v>41232</v>
          </cell>
        </row>
        <row r="11">
          <cell r="A11">
            <v>41233</v>
          </cell>
        </row>
        <row r="12">
          <cell r="A12">
            <v>41234</v>
          </cell>
        </row>
        <row r="13">
          <cell r="A13">
            <v>41236</v>
          </cell>
        </row>
        <row r="14">
          <cell r="A14">
            <v>41239</v>
          </cell>
        </row>
        <row r="15">
          <cell r="A15">
            <v>41240</v>
          </cell>
        </row>
        <row r="16">
          <cell r="A16">
            <v>41241</v>
          </cell>
        </row>
        <row r="17">
          <cell r="A17">
            <v>41242</v>
          </cell>
        </row>
        <row r="18">
          <cell r="A18">
            <v>41243</v>
          </cell>
        </row>
        <row r="19">
          <cell r="A19">
            <v>41246</v>
          </cell>
        </row>
        <row r="20">
          <cell r="A20">
            <v>41247</v>
          </cell>
        </row>
        <row r="21">
          <cell r="A21">
            <v>41248</v>
          </cell>
        </row>
        <row r="22">
          <cell r="A22">
            <v>41249</v>
          </cell>
        </row>
        <row r="23">
          <cell r="A23">
            <v>41250</v>
          </cell>
        </row>
        <row r="24">
          <cell r="A24">
            <v>41253</v>
          </cell>
        </row>
        <row r="25">
          <cell r="A25">
            <v>41254</v>
          </cell>
        </row>
        <row r="26">
          <cell r="A26">
            <v>41255</v>
          </cell>
        </row>
        <row r="27">
          <cell r="A27">
            <v>41256</v>
          </cell>
        </row>
        <row r="28">
          <cell r="A28">
            <v>41257</v>
          </cell>
        </row>
        <row r="29">
          <cell r="A29">
            <v>41260</v>
          </cell>
        </row>
        <row r="30">
          <cell r="A30">
            <v>41261</v>
          </cell>
        </row>
        <row r="31">
          <cell r="A31">
            <v>41262</v>
          </cell>
        </row>
        <row r="32">
          <cell r="A32">
            <v>41263</v>
          </cell>
        </row>
        <row r="33">
          <cell r="A33">
            <v>41264</v>
          </cell>
        </row>
        <row r="34">
          <cell r="A34">
            <v>41267</v>
          </cell>
        </row>
        <row r="35">
          <cell r="A35">
            <v>41269</v>
          </cell>
        </row>
        <row r="36">
          <cell r="A36">
            <v>41270</v>
          </cell>
        </row>
        <row r="37">
          <cell r="A37">
            <v>41271</v>
          </cell>
        </row>
        <row r="38">
          <cell r="A38">
            <v>41274</v>
          </cell>
        </row>
        <row r="39">
          <cell r="A39">
            <v>41276</v>
          </cell>
        </row>
        <row r="40">
          <cell r="A40">
            <v>41278</v>
          </cell>
        </row>
        <row r="41">
          <cell r="A41">
            <v>41281</v>
          </cell>
        </row>
        <row r="42">
          <cell r="A42">
            <v>41282</v>
          </cell>
        </row>
        <row r="43">
          <cell r="A43">
            <v>41283</v>
          </cell>
        </row>
        <row r="44">
          <cell r="A44">
            <v>41284</v>
          </cell>
        </row>
        <row r="45">
          <cell r="A45">
            <v>41285</v>
          </cell>
        </row>
        <row r="46">
          <cell r="A46">
            <v>41288</v>
          </cell>
        </row>
        <row r="47">
          <cell r="A47">
            <v>41289</v>
          </cell>
        </row>
        <row r="48">
          <cell r="A48">
            <v>41290</v>
          </cell>
        </row>
        <row r="49">
          <cell r="A49">
            <v>41291</v>
          </cell>
        </row>
        <row r="50">
          <cell r="A50">
            <v>41292</v>
          </cell>
        </row>
        <row r="51">
          <cell r="A51">
            <v>41296</v>
          </cell>
        </row>
        <row r="52">
          <cell r="A52">
            <v>41297</v>
          </cell>
        </row>
        <row r="53">
          <cell r="A53">
            <v>41298</v>
          </cell>
        </row>
        <row r="54">
          <cell r="A54">
            <v>41299</v>
          </cell>
        </row>
        <row r="55">
          <cell r="A55">
            <v>41302</v>
          </cell>
        </row>
        <row r="56">
          <cell r="A56">
            <v>41303</v>
          </cell>
        </row>
        <row r="57">
          <cell r="A57">
            <v>41304</v>
          </cell>
        </row>
        <row r="58">
          <cell r="A58">
            <v>41305</v>
          </cell>
        </row>
        <row r="59">
          <cell r="A59">
            <v>41306</v>
          </cell>
        </row>
        <row r="60">
          <cell r="A60">
            <v>41309</v>
          </cell>
        </row>
        <row r="61">
          <cell r="A61">
            <v>41310</v>
          </cell>
        </row>
        <row r="62">
          <cell r="A62">
            <v>41311</v>
          </cell>
        </row>
        <row r="63">
          <cell r="A63">
            <v>41312</v>
          </cell>
        </row>
        <row r="64">
          <cell r="A64">
            <v>41313</v>
          </cell>
        </row>
        <row r="65">
          <cell r="A65">
            <v>41316</v>
          </cell>
        </row>
        <row r="66">
          <cell r="A66">
            <v>41317</v>
          </cell>
        </row>
        <row r="67">
          <cell r="A67">
            <v>41318</v>
          </cell>
        </row>
        <row r="68">
          <cell r="A68">
            <v>41319</v>
          </cell>
        </row>
        <row r="69">
          <cell r="A69">
            <v>41320</v>
          </cell>
        </row>
        <row r="70">
          <cell r="A70">
            <v>41324</v>
          </cell>
        </row>
        <row r="71">
          <cell r="A71">
            <v>41325</v>
          </cell>
        </row>
        <row r="72">
          <cell r="A72">
            <v>41326</v>
          </cell>
        </row>
        <row r="73">
          <cell r="A73">
            <v>41327</v>
          </cell>
        </row>
        <row r="74">
          <cell r="A74">
            <v>41330</v>
          </cell>
        </row>
        <row r="75">
          <cell r="A75">
            <v>41331</v>
          </cell>
        </row>
        <row r="76">
          <cell r="A76">
            <v>41332</v>
          </cell>
        </row>
        <row r="77">
          <cell r="A77">
            <v>41333</v>
          </cell>
        </row>
        <row r="78">
          <cell r="A78">
            <v>41334</v>
          </cell>
        </row>
        <row r="79">
          <cell r="A79">
            <v>41337</v>
          </cell>
        </row>
        <row r="80">
          <cell r="A80">
            <v>41338</v>
          </cell>
        </row>
        <row r="81">
          <cell r="A81">
            <v>41339</v>
          </cell>
        </row>
        <row r="82">
          <cell r="A82">
            <v>41340</v>
          </cell>
        </row>
        <row r="83">
          <cell r="A83">
            <v>41341</v>
          </cell>
        </row>
        <row r="84">
          <cell r="A84">
            <v>41344</v>
          </cell>
        </row>
        <row r="85">
          <cell r="A85">
            <v>41345</v>
          </cell>
        </row>
        <row r="86">
          <cell r="A86">
            <v>41346</v>
          </cell>
        </row>
        <row r="87">
          <cell r="A87">
            <v>41347</v>
          </cell>
        </row>
        <row r="88">
          <cell r="A88">
            <v>41348</v>
          </cell>
        </row>
        <row r="89">
          <cell r="A89">
            <v>41351</v>
          </cell>
        </row>
        <row r="90">
          <cell r="A90">
            <v>41352</v>
          </cell>
        </row>
        <row r="91">
          <cell r="A91">
            <v>41353</v>
          </cell>
        </row>
        <row r="92">
          <cell r="A92">
            <v>41354</v>
          </cell>
        </row>
        <row r="93">
          <cell r="A93">
            <v>41355</v>
          </cell>
        </row>
        <row r="94">
          <cell r="A94">
            <v>41358</v>
          </cell>
        </row>
        <row r="95">
          <cell r="A95">
            <v>41359</v>
          </cell>
        </row>
        <row r="96">
          <cell r="A96">
            <v>41360</v>
          </cell>
        </row>
        <row r="97">
          <cell r="A97">
            <v>41361</v>
          </cell>
        </row>
        <row r="98">
          <cell r="A98">
            <v>41365</v>
          </cell>
        </row>
        <row r="99">
          <cell r="A99">
            <v>41366</v>
          </cell>
        </row>
        <row r="100">
          <cell r="A100">
            <v>41367</v>
          </cell>
        </row>
        <row r="101">
          <cell r="A101">
            <v>41368</v>
          </cell>
        </row>
        <row r="102">
          <cell r="A102">
            <v>41369</v>
          </cell>
        </row>
        <row r="103">
          <cell r="A103">
            <v>41372</v>
          </cell>
        </row>
        <row r="104">
          <cell r="A104">
            <v>41373</v>
          </cell>
        </row>
        <row r="105">
          <cell r="A105">
            <v>41374</v>
          </cell>
        </row>
        <row r="106">
          <cell r="A106">
            <v>41375</v>
          </cell>
        </row>
        <row r="107">
          <cell r="A107">
            <v>41376</v>
          </cell>
        </row>
        <row r="108">
          <cell r="A108">
            <v>41379</v>
          </cell>
        </row>
        <row r="109">
          <cell r="A109">
            <v>41380</v>
          </cell>
        </row>
        <row r="110">
          <cell r="A110">
            <v>41381</v>
          </cell>
        </row>
        <row r="111">
          <cell r="A111">
            <v>41382</v>
          </cell>
        </row>
        <row r="112">
          <cell r="A112">
            <v>41383</v>
          </cell>
        </row>
        <row r="113">
          <cell r="A113">
            <v>41386</v>
          </cell>
        </row>
        <row r="114">
          <cell r="A114">
            <v>41387</v>
          </cell>
        </row>
        <row r="115">
          <cell r="A115">
            <v>41388</v>
          </cell>
        </row>
        <row r="116">
          <cell r="A116">
            <v>41389</v>
          </cell>
        </row>
        <row r="117">
          <cell r="A117">
            <v>41390</v>
          </cell>
        </row>
        <row r="118">
          <cell r="A118">
            <v>41393</v>
          </cell>
        </row>
        <row r="119">
          <cell r="A119">
            <v>41394</v>
          </cell>
        </row>
        <row r="120">
          <cell r="A120">
            <v>41395</v>
          </cell>
        </row>
        <row r="121">
          <cell r="A121">
            <v>41396</v>
          </cell>
        </row>
        <row r="122">
          <cell r="A122">
            <v>41397</v>
          </cell>
        </row>
        <row r="123">
          <cell r="A123">
            <v>41400</v>
          </cell>
        </row>
        <row r="124">
          <cell r="A124">
            <v>41401</v>
          </cell>
        </row>
        <row r="125">
          <cell r="A125">
            <v>41402</v>
          </cell>
        </row>
        <row r="126">
          <cell r="A126">
            <v>41403</v>
          </cell>
        </row>
        <row r="127">
          <cell r="A127">
            <v>41404</v>
          </cell>
        </row>
        <row r="128">
          <cell r="A128">
            <v>41407</v>
          </cell>
        </row>
        <row r="129">
          <cell r="A129">
            <v>41408</v>
          </cell>
        </row>
        <row r="130">
          <cell r="A130">
            <v>41409</v>
          </cell>
        </row>
        <row r="131">
          <cell r="A131">
            <v>41410</v>
          </cell>
        </row>
        <row r="132">
          <cell r="A132">
            <v>41411</v>
          </cell>
        </row>
        <row r="133">
          <cell r="A133">
            <v>41414</v>
          </cell>
        </row>
        <row r="134">
          <cell r="A134">
            <v>41415</v>
          </cell>
        </row>
        <row r="135">
          <cell r="A135">
            <v>41416</v>
          </cell>
        </row>
        <row r="136">
          <cell r="A136">
            <v>41417</v>
          </cell>
        </row>
        <row r="137">
          <cell r="A137">
            <v>41418</v>
          </cell>
        </row>
        <row r="138">
          <cell r="A138">
            <v>41422</v>
          </cell>
        </row>
        <row r="139">
          <cell r="A139">
            <v>41423</v>
          </cell>
        </row>
        <row r="140">
          <cell r="A140">
            <v>41424</v>
          </cell>
        </row>
        <row r="141">
          <cell r="A141">
            <v>41425</v>
          </cell>
        </row>
        <row r="142">
          <cell r="A142">
            <v>41428</v>
          </cell>
        </row>
        <row r="143">
          <cell r="A143">
            <v>41429</v>
          </cell>
        </row>
        <row r="144">
          <cell r="A144">
            <v>41430</v>
          </cell>
        </row>
        <row r="145">
          <cell r="A145">
            <v>41431</v>
          </cell>
        </row>
        <row r="146">
          <cell r="A146">
            <v>41432</v>
          </cell>
        </row>
        <row r="147">
          <cell r="A147">
            <v>41435</v>
          </cell>
        </row>
        <row r="148">
          <cell r="A148">
            <v>41436</v>
          </cell>
        </row>
        <row r="149">
          <cell r="A149">
            <v>41437</v>
          </cell>
        </row>
        <row r="150">
          <cell r="A150">
            <v>41438</v>
          </cell>
        </row>
        <row r="151">
          <cell r="A151">
            <v>41439</v>
          </cell>
        </row>
        <row r="152">
          <cell r="A152">
            <v>41442</v>
          </cell>
        </row>
        <row r="153">
          <cell r="A153">
            <v>41443</v>
          </cell>
        </row>
        <row r="154">
          <cell r="A154">
            <v>41444</v>
          </cell>
        </row>
        <row r="155">
          <cell r="A155">
            <v>41445</v>
          </cell>
        </row>
        <row r="156">
          <cell r="A156">
            <v>41446</v>
          </cell>
        </row>
        <row r="157">
          <cell r="A157">
            <v>41449</v>
          </cell>
        </row>
        <row r="158">
          <cell r="A158">
            <v>41450</v>
          </cell>
        </row>
        <row r="159">
          <cell r="A159">
            <v>41451</v>
          </cell>
        </row>
        <row r="160">
          <cell r="A160">
            <v>41452</v>
          </cell>
        </row>
        <row r="161">
          <cell r="A161">
            <v>41453</v>
          </cell>
        </row>
        <row r="162">
          <cell r="A162">
            <v>41456</v>
          </cell>
        </row>
        <row r="163">
          <cell r="A163">
            <v>41457</v>
          </cell>
        </row>
        <row r="164">
          <cell r="A164">
            <v>41458</v>
          </cell>
        </row>
        <row r="165">
          <cell r="A165">
            <v>41460</v>
          </cell>
        </row>
        <row r="166">
          <cell r="A166">
            <v>41463</v>
          </cell>
        </row>
        <row r="167">
          <cell r="A167">
            <v>41464</v>
          </cell>
        </row>
        <row r="168">
          <cell r="A168">
            <v>41465</v>
          </cell>
        </row>
        <row r="169">
          <cell r="A169">
            <v>41466</v>
          </cell>
        </row>
        <row r="170">
          <cell r="A170">
            <v>41467</v>
          </cell>
        </row>
        <row r="171">
          <cell r="A171">
            <v>41470</v>
          </cell>
        </row>
        <row r="172">
          <cell r="A172">
            <v>41471</v>
          </cell>
        </row>
        <row r="173">
          <cell r="A173">
            <v>41472</v>
          </cell>
        </row>
        <row r="174">
          <cell r="A174">
            <v>41473</v>
          </cell>
        </row>
        <row r="175">
          <cell r="A175">
            <v>41474</v>
          </cell>
        </row>
        <row r="176">
          <cell r="A176">
            <v>41477</v>
          </cell>
        </row>
        <row r="177">
          <cell r="A177">
            <v>41478</v>
          </cell>
        </row>
        <row r="178">
          <cell r="A178">
            <v>41479</v>
          </cell>
        </row>
        <row r="179">
          <cell r="A179">
            <v>41480</v>
          </cell>
        </row>
        <row r="180">
          <cell r="A180">
            <v>41481</v>
          </cell>
        </row>
        <row r="181">
          <cell r="A181">
            <v>41484</v>
          </cell>
        </row>
        <row r="182">
          <cell r="A182">
            <v>41485</v>
          </cell>
        </row>
        <row r="183">
          <cell r="A183">
            <v>41486</v>
          </cell>
        </row>
        <row r="184">
          <cell r="A184">
            <v>41487</v>
          </cell>
        </row>
        <row r="185">
          <cell r="A185">
            <v>41488</v>
          </cell>
        </row>
        <row r="186">
          <cell r="A186">
            <v>41491</v>
          </cell>
        </row>
        <row r="187">
          <cell r="A187">
            <v>41492</v>
          </cell>
        </row>
        <row r="188">
          <cell r="A188">
            <v>41493</v>
          </cell>
        </row>
        <row r="189">
          <cell r="A189">
            <v>41494</v>
          </cell>
        </row>
        <row r="190">
          <cell r="A190">
            <v>41495</v>
          </cell>
        </row>
        <row r="191">
          <cell r="A191">
            <v>41498</v>
          </cell>
        </row>
        <row r="192">
          <cell r="A192">
            <v>41499</v>
          </cell>
        </row>
        <row r="193">
          <cell r="A193">
            <v>41500</v>
          </cell>
        </row>
        <row r="194">
          <cell r="A194">
            <v>41501</v>
          </cell>
        </row>
        <row r="195">
          <cell r="A195">
            <v>41502</v>
          </cell>
        </row>
        <row r="196">
          <cell r="A196">
            <v>41505</v>
          </cell>
        </row>
        <row r="197">
          <cell r="A197">
            <v>41506</v>
          </cell>
        </row>
        <row r="198">
          <cell r="A198">
            <v>41507</v>
          </cell>
        </row>
        <row r="199">
          <cell r="A199">
            <v>41508</v>
          </cell>
        </row>
        <row r="200">
          <cell r="A200">
            <v>41509</v>
          </cell>
        </row>
        <row r="201">
          <cell r="A201">
            <v>41512</v>
          </cell>
        </row>
        <row r="202">
          <cell r="A202">
            <v>41513</v>
          </cell>
        </row>
        <row r="203">
          <cell r="A203">
            <v>41514</v>
          </cell>
        </row>
        <row r="204">
          <cell r="A204">
            <v>41515</v>
          </cell>
        </row>
        <row r="205">
          <cell r="A205">
            <v>41516</v>
          </cell>
        </row>
        <row r="206">
          <cell r="A206">
            <v>41520</v>
          </cell>
        </row>
        <row r="207">
          <cell r="A207">
            <v>41521</v>
          </cell>
        </row>
        <row r="208">
          <cell r="A208">
            <v>41522</v>
          </cell>
        </row>
        <row r="209">
          <cell r="A209">
            <v>41523</v>
          </cell>
        </row>
        <row r="210">
          <cell r="A210">
            <v>41526</v>
          </cell>
        </row>
        <row r="211">
          <cell r="A211">
            <v>41527</v>
          </cell>
        </row>
        <row r="212">
          <cell r="A212">
            <v>41528</v>
          </cell>
        </row>
        <row r="213">
          <cell r="A213">
            <v>41529</v>
          </cell>
        </row>
        <row r="214">
          <cell r="A214">
            <v>41530</v>
          </cell>
        </row>
        <row r="215">
          <cell r="A215">
            <v>41533</v>
          </cell>
        </row>
        <row r="216">
          <cell r="A216">
            <v>41534</v>
          </cell>
        </row>
        <row r="217">
          <cell r="A217">
            <v>41535</v>
          </cell>
        </row>
        <row r="218">
          <cell r="A218">
            <v>41536</v>
          </cell>
        </row>
        <row r="219">
          <cell r="A219">
            <v>41537</v>
          </cell>
        </row>
        <row r="220">
          <cell r="A220">
            <v>41540</v>
          </cell>
        </row>
        <row r="221">
          <cell r="A221">
            <v>41541</v>
          </cell>
        </row>
        <row r="222">
          <cell r="A222">
            <v>41542</v>
          </cell>
        </row>
        <row r="223">
          <cell r="A223">
            <v>41543</v>
          </cell>
        </row>
        <row r="224">
          <cell r="A224">
            <v>41544</v>
          </cell>
        </row>
        <row r="225">
          <cell r="A225">
            <v>41547</v>
          </cell>
        </row>
        <row r="226">
          <cell r="A226">
            <v>41548</v>
          </cell>
        </row>
        <row r="227">
          <cell r="A227">
            <v>41549</v>
          </cell>
        </row>
        <row r="228">
          <cell r="A228">
            <v>41550</v>
          </cell>
        </row>
        <row r="229">
          <cell r="A229">
            <v>41551</v>
          </cell>
        </row>
        <row r="230">
          <cell r="A230">
            <v>41554</v>
          </cell>
        </row>
        <row r="231">
          <cell r="A231">
            <v>41555</v>
          </cell>
        </row>
        <row r="232">
          <cell r="A232">
            <v>41556</v>
          </cell>
        </row>
        <row r="233">
          <cell r="A233">
            <v>41557</v>
          </cell>
        </row>
        <row r="234">
          <cell r="A234">
            <v>41558</v>
          </cell>
        </row>
        <row r="235">
          <cell r="A235">
            <v>41561</v>
          </cell>
        </row>
        <row r="236">
          <cell r="A236">
            <v>41562</v>
          </cell>
        </row>
        <row r="237">
          <cell r="A237">
            <v>41563</v>
          </cell>
        </row>
        <row r="238">
          <cell r="A238">
            <v>41564</v>
          </cell>
        </row>
        <row r="239">
          <cell r="A239">
            <v>41565</v>
          </cell>
        </row>
        <row r="240">
          <cell r="A240">
            <v>41568</v>
          </cell>
        </row>
        <row r="241">
          <cell r="A241">
            <v>41569</v>
          </cell>
        </row>
        <row r="242">
          <cell r="A242">
            <v>41570</v>
          </cell>
        </row>
        <row r="243">
          <cell r="A243">
            <v>41571</v>
          </cell>
        </row>
        <row r="244">
          <cell r="A244">
            <v>41572</v>
          </cell>
        </row>
        <row r="245">
          <cell r="A245">
            <v>41575</v>
          </cell>
        </row>
        <row r="246">
          <cell r="A246">
            <v>41576</v>
          </cell>
        </row>
        <row r="247">
          <cell r="A247">
            <v>41577</v>
          </cell>
        </row>
        <row r="248">
          <cell r="A248">
            <v>41578</v>
          </cell>
        </row>
        <row r="249">
          <cell r="A249">
            <v>41579</v>
          </cell>
        </row>
        <row r="250">
          <cell r="A250">
            <v>41582</v>
          </cell>
        </row>
        <row r="251">
          <cell r="A251">
            <v>41583</v>
          </cell>
        </row>
        <row r="252">
          <cell r="A252">
            <v>41584</v>
          </cell>
        </row>
        <row r="253">
          <cell r="A253">
            <v>41585</v>
          </cell>
        </row>
        <row r="254">
          <cell r="A254">
            <v>41586</v>
          </cell>
        </row>
        <row r="255">
          <cell r="A255">
            <v>41589</v>
          </cell>
        </row>
        <row r="256">
          <cell r="A256">
            <v>41590</v>
          </cell>
        </row>
        <row r="257">
          <cell r="A257">
            <v>41591</v>
          </cell>
        </row>
        <row r="258">
          <cell r="A258">
            <v>41592</v>
          </cell>
        </row>
        <row r="259">
          <cell r="A259">
            <v>41593</v>
          </cell>
        </row>
        <row r="260">
          <cell r="A260">
            <v>41596</v>
          </cell>
        </row>
        <row r="261">
          <cell r="A261">
            <v>41597</v>
          </cell>
        </row>
        <row r="262">
          <cell r="A262">
            <v>41598</v>
          </cell>
        </row>
        <row r="263">
          <cell r="A263">
            <v>41599</v>
          </cell>
        </row>
        <row r="264">
          <cell r="A264">
            <v>41600</v>
          </cell>
        </row>
        <row r="265">
          <cell r="A265">
            <v>41603</v>
          </cell>
        </row>
        <row r="266">
          <cell r="A266">
            <v>41604</v>
          </cell>
        </row>
        <row r="267">
          <cell r="A267">
            <v>41605</v>
          </cell>
        </row>
        <row r="268">
          <cell r="A268">
            <v>41607</v>
          </cell>
        </row>
        <row r="269">
          <cell r="A269">
            <v>41610</v>
          </cell>
        </row>
        <row r="270">
          <cell r="A270">
            <v>41611</v>
          </cell>
        </row>
        <row r="271">
          <cell r="A271">
            <v>41612</v>
          </cell>
        </row>
        <row r="272">
          <cell r="A272">
            <v>41613</v>
          </cell>
        </row>
        <row r="273">
          <cell r="A273">
            <v>41614</v>
          </cell>
        </row>
        <row r="274">
          <cell r="A274">
            <v>41617</v>
          </cell>
        </row>
        <row r="275">
          <cell r="A275">
            <v>41618</v>
          </cell>
        </row>
        <row r="276">
          <cell r="A276">
            <v>41619</v>
          </cell>
        </row>
        <row r="277">
          <cell r="A277">
            <v>41620</v>
          </cell>
        </row>
        <row r="278">
          <cell r="A278">
            <v>41621</v>
          </cell>
        </row>
        <row r="279">
          <cell r="A279">
            <v>41624</v>
          </cell>
        </row>
        <row r="280">
          <cell r="A280">
            <v>41625</v>
          </cell>
        </row>
        <row r="281">
          <cell r="A281">
            <v>41626</v>
          </cell>
        </row>
        <row r="282">
          <cell r="A282">
            <v>41627</v>
          </cell>
        </row>
        <row r="283">
          <cell r="A283">
            <v>41628</v>
          </cell>
        </row>
        <row r="284">
          <cell r="A284">
            <v>41631</v>
          </cell>
        </row>
        <row r="285">
          <cell r="A285">
            <v>41632</v>
          </cell>
        </row>
        <row r="286">
          <cell r="A286">
            <v>41634</v>
          </cell>
        </row>
        <row r="287">
          <cell r="A287">
            <v>41635</v>
          </cell>
        </row>
        <row r="288">
          <cell r="A288">
            <v>41638</v>
          </cell>
        </row>
        <row r="289">
          <cell r="A289">
            <v>41639</v>
          </cell>
        </row>
        <row r="290">
          <cell r="A290">
            <v>41641</v>
          </cell>
        </row>
        <row r="291">
          <cell r="A291">
            <v>41642</v>
          </cell>
        </row>
        <row r="292">
          <cell r="A292">
            <v>41645</v>
          </cell>
        </row>
        <row r="293">
          <cell r="A293">
            <v>41646</v>
          </cell>
        </row>
        <row r="294">
          <cell r="A294">
            <v>41647</v>
          </cell>
        </row>
        <row r="295">
          <cell r="A295">
            <v>41648</v>
          </cell>
        </row>
        <row r="296">
          <cell r="A296">
            <v>41649</v>
          </cell>
        </row>
        <row r="297">
          <cell r="A297">
            <v>41652</v>
          </cell>
        </row>
        <row r="298">
          <cell r="A298">
            <v>41653</v>
          </cell>
        </row>
        <row r="299">
          <cell r="A299">
            <v>41654</v>
          </cell>
        </row>
        <row r="300">
          <cell r="A300">
            <v>41655</v>
          </cell>
        </row>
        <row r="301">
          <cell r="A301">
            <v>41656</v>
          </cell>
        </row>
        <row r="302">
          <cell r="A302">
            <v>41660</v>
          </cell>
        </row>
        <row r="303">
          <cell r="A303">
            <v>41661</v>
          </cell>
        </row>
        <row r="304">
          <cell r="A304">
            <v>41662</v>
          </cell>
        </row>
        <row r="305">
          <cell r="A305">
            <v>41663</v>
          </cell>
        </row>
        <row r="306">
          <cell r="A306">
            <v>41666</v>
          </cell>
        </row>
        <row r="307">
          <cell r="A307">
            <v>41667</v>
          </cell>
        </row>
        <row r="308">
          <cell r="A308">
            <v>41668</v>
          </cell>
        </row>
        <row r="309">
          <cell r="A309">
            <v>41669</v>
          </cell>
        </row>
        <row r="310">
          <cell r="A310">
            <v>41670</v>
          </cell>
        </row>
        <row r="311">
          <cell r="A311">
            <v>41673</v>
          </cell>
        </row>
        <row r="312">
          <cell r="A312">
            <v>41674</v>
          </cell>
        </row>
        <row r="313">
          <cell r="A313">
            <v>41675</v>
          </cell>
        </row>
        <row r="314">
          <cell r="A314">
            <v>41676</v>
          </cell>
        </row>
        <row r="315">
          <cell r="A315">
            <v>41677</v>
          </cell>
        </row>
        <row r="316">
          <cell r="A316">
            <v>41680</v>
          </cell>
        </row>
        <row r="317">
          <cell r="A317">
            <v>41681</v>
          </cell>
        </row>
        <row r="318">
          <cell r="A318">
            <v>41682</v>
          </cell>
        </row>
        <row r="319">
          <cell r="A319">
            <v>41683</v>
          </cell>
        </row>
        <row r="320">
          <cell r="A320">
            <v>41684</v>
          </cell>
        </row>
        <row r="321">
          <cell r="A321">
            <v>41688</v>
          </cell>
        </row>
        <row r="322">
          <cell r="A322">
            <v>41689</v>
          </cell>
        </row>
        <row r="323">
          <cell r="A323">
            <v>41690</v>
          </cell>
        </row>
        <row r="324">
          <cell r="A324">
            <v>41691</v>
          </cell>
        </row>
        <row r="325">
          <cell r="A325">
            <v>41694</v>
          </cell>
        </row>
        <row r="326">
          <cell r="A326">
            <v>41695</v>
          </cell>
        </row>
        <row r="327">
          <cell r="A327">
            <v>41696</v>
          </cell>
        </row>
        <row r="328">
          <cell r="A328">
            <v>41697</v>
          </cell>
        </row>
        <row r="329">
          <cell r="A329">
            <v>41698</v>
          </cell>
        </row>
        <row r="330">
          <cell r="A330">
            <v>41701</v>
          </cell>
        </row>
        <row r="331">
          <cell r="A331">
            <v>41702</v>
          </cell>
        </row>
        <row r="332">
          <cell r="A332">
            <v>41703</v>
          </cell>
        </row>
        <row r="333">
          <cell r="A333">
            <v>41704</v>
          </cell>
        </row>
        <row r="334">
          <cell r="A334">
            <v>41705</v>
          </cell>
        </row>
        <row r="335">
          <cell r="A335">
            <v>41708</v>
          </cell>
        </row>
        <row r="336">
          <cell r="A336">
            <v>41709</v>
          </cell>
        </row>
        <row r="337">
          <cell r="A337">
            <v>41710</v>
          </cell>
        </row>
        <row r="338">
          <cell r="A338">
            <v>41711</v>
          </cell>
        </row>
        <row r="339">
          <cell r="A339">
            <v>41712</v>
          </cell>
        </row>
        <row r="340">
          <cell r="A340">
            <v>41715</v>
          </cell>
        </row>
        <row r="341">
          <cell r="A341">
            <v>41716</v>
          </cell>
        </row>
        <row r="342">
          <cell r="A342">
            <v>41717</v>
          </cell>
        </row>
        <row r="343">
          <cell r="A343">
            <v>41718</v>
          </cell>
        </row>
        <row r="344">
          <cell r="A344">
            <v>41719</v>
          </cell>
        </row>
        <row r="345">
          <cell r="A345">
            <v>41722</v>
          </cell>
        </row>
        <row r="346">
          <cell r="A346">
            <v>41723</v>
          </cell>
        </row>
        <row r="347">
          <cell r="A347">
            <v>41724</v>
          </cell>
        </row>
        <row r="348">
          <cell r="A348">
            <v>41725</v>
          </cell>
        </row>
        <row r="349">
          <cell r="A349">
            <v>41726</v>
          </cell>
        </row>
        <row r="350">
          <cell r="A350">
            <v>41729</v>
          </cell>
        </row>
        <row r="351">
          <cell r="A351">
            <v>41730</v>
          </cell>
        </row>
        <row r="352">
          <cell r="A352">
            <v>41731</v>
          </cell>
        </row>
        <row r="353">
          <cell r="A353">
            <v>41732</v>
          </cell>
        </row>
        <row r="354">
          <cell r="A354">
            <v>41733</v>
          </cell>
        </row>
        <row r="355">
          <cell r="A355">
            <v>41736</v>
          </cell>
        </row>
        <row r="356">
          <cell r="A356">
            <v>41737</v>
          </cell>
        </row>
        <row r="357">
          <cell r="A357">
            <v>41738</v>
          </cell>
        </row>
        <row r="358">
          <cell r="A358">
            <v>41739</v>
          </cell>
        </row>
        <row r="359">
          <cell r="A359">
            <v>41740</v>
          </cell>
        </row>
        <row r="360">
          <cell r="A360">
            <v>41743</v>
          </cell>
        </row>
        <row r="361">
          <cell r="A361">
            <v>41744</v>
          </cell>
        </row>
        <row r="362">
          <cell r="A362">
            <v>41745</v>
          </cell>
        </row>
        <row r="363">
          <cell r="A363">
            <v>41746</v>
          </cell>
        </row>
        <row r="364">
          <cell r="A364">
            <v>41747</v>
          </cell>
        </row>
        <row r="365">
          <cell r="A365">
            <v>41750</v>
          </cell>
        </row>
        <row r="366">
          <cell r="A366">
            <v>41751</v>
          </cell>
        </row>
        <row r="367">
          <cell r="A367">
            <v>41752</v>
          </cell>
        </row>
        <row r="368">
          <cell r="A368">
            <v>41753</v>
          </cell>
        </row>
        <row r="369">
          <cell r="A369">
            <v>41754</v>
          </cell>
        </row>
        <row r="370">
          <cell r="A370">
            <v>41757</v>
          </cell>
        </row>
        <row r="371">
          <cell r="A371">
            <v>41758</v>
          </cell>
        </row>
        <row r="372">
          <cell r="A372">
            <v>41759</v>
          </cell>
        </row>
        <row r="373">
          <cell r="A373">
            <v>41760</v>
          </cell>
        </row>
        <row r="374">
          <cell r="A374">
            <v>41761</v>
          </cell>
        </row>
        <row r="375">
          <cell r="A375">
            <v>41764</v>
          </cell>
        </row>
        <row r="376">
          <cell r="A376">
            <v>41765</v>
          </cell>
        </row>
        <row r="377">
          <cell r="A377">
            <v>41766</v>
          </cell>
        </row>
        <row r="378">
          <cell r="A378">
            <v>41767</v>
          </cell>
        </row>
        <row r="379">
          <cell r="A379">
            <v>41768</v>
          </cell>
        </row>
        <row r="380">
          <cell r="A380">
            <v>41771</v>
          </cell>
        </row>
        <row r="381">
          <cell r="A381">
            <v>41772</v>
          </cell>
        </row>
        <row r="382">
          <cell r="A382">
            <v>41773</v>
          </cell>
        </row>
        <row r="383">
          <cell r="A383">
            <v>41774</v>
          </cell>
        </row>
        <row r="384">
          <cell r="A384">
            <v>41775</v>
          </cell>
        </row>
        <row r="385">
          <cell r="A385">
            <v>41778</v>
          </cell>
        </row>
        <row r="386">
          <cell r="A386">
            <v>41779</v>
          </cell>
        </row>
        <row r="387">
          <cell r="A387">
            <v>41780</v>
          </cell>
        </row>
        <row r="388">
          <cell r="A388">
            <v>41781</v>
          </cell>
        </row>
        <row r="389">
          <cell r="A389">
            <v>41782</v>
          </cell>
        </row>
        <row r="390">
          <cell r="A390">
            <v>41786</v>
          </cell>
        </row>
        <row r="391">
          <cell r="A391">
            <v>41787</v>
          </cell>
        </row>
        <row r="392">
          <cell r="A392">
            <v>41788</v>
          </cell>
        </row>
        <row r="393">
          <cell r="A393">
            <v>41789</v>
          </cell>
        </row>
        <row r="394">
          <cell r="A394">
            <v>41792</v>
          </cell>
        </row>
        <row r="395">
          <cell r="A395">
            <v>41793</v>
          </cell>
        </row>
        <row r="396">
          <cell r="A396">
            <v>41794</v>
          </cell>
        </row>
        <row r="397">
          <cell r="A397">
            <v>41795</v>
          </cell>
        </row>
        <row r="398">
          <cell r="A398">
            <v>41796</v>
          </cell>
        </row>
        <row r="399">
          <cell r="A399">
            <v>41799</v>
          </cell>
        </row>
        <row r="400">
          <cell r="A400">
            <v>41800</v>
          </cell>
        </row>
        <row r="401">
          <cell r="A401">
            <v>41801</v>
          </cell>
        </row>
        <row r="402">
          <cell r="A402">
            <v>41802</v>
          </cell>
        </row>
        <row r="403">
          <cell r="A403">
            <v>41803</v>
          </cell>
        </row>
        <row r="404">
          <cell r="A404">
            <v>41806</v>
          </cell>
        </row>
        <row r="405">
          <cell r="A405">
            <v>41807</v>
          </cell>
        </row>
        <row r="406">
          <cell r="A406">
            <v>41808</v>
          </cell>
        </row>
        <row r="407">
          <cell r="A407">
            <v>41809</v>
          </cell>
        </row>
        <row r="408">
          <cell r="A408">
            <v>41810</v>
          </cell>
        </row>
        <row r="409">
          <cell r="A409">
            <v>41813</v>
          </cell>
        </row>
        <row r="410">
          <cell r="A410">
            <v>41814</v>
          </cell>
        </row>
        <row r="411">
          <cell r="A411">
            <v>41815</v>
          </cell>
        </row>
        <row r="412">
          <cell r="A412">
            <v>41816</v>
          </cell>
        </row>
        <row r="413">
          <cell r="A413">
            <v>41817</v>
          </cell>
        </row>
        <row r="414">
          <cell r="A414">
            <v>41820</v>
          </cell>
        </row>
        <row r="415">
          <cell r="A415">
            <v>41821</v>
          </cell>
        </row>
        <row r="416">
          <cell r="A416">
            <v>41822</v>
          </cell>
        </row>
        <row r="417">
          <cell r="A417">
            <v>41823</v>
          </cell>
        </row>
        <row r="418">
          <cell r="A418">
            <v>41827</v>
          </cell>
        </row>
        <row r="419">
          <cell r="A419">
            <v>41828</v>
          </cell>
        </row>
        <row r="420">
          <cell r="A420">
            <v>41829</v>
          </cell>
        </row>
        <row r="421">
          <cell r="A421">
            <v>41830</v>
          </cell>
        </row>
        <row r="422">
          <cell r="A422">
            <v>41831</v>
          </cell>
        </row>
        <row r="423">
          <cell r="A423">
            <v>41834</v>
          </cell>
        </row>
        <row r="424">
          <cell r="A424">
            <v>41835</v>
          </cell>
        </row>
        <row r="425">
          <cell r="A425">
            <v>41836</v>
          </cell>
        </row>
        <row r="426">
          <cell r="A426">
            <v>41837</v>
          </cell>
        </row>
        <row r="427">
          <cell r="A427">
            <v>41838</v>
          </cell>
        </row>
        <row r="428">
          <cell r="A428">
            <v>41841</v>
          </cell>
        </row>
        <row r="429">
          <cell r="A429">
            <v>41842</v>
          </cell>
        </row>
        <row r="430">
          <cell r="A430">
            <v>41843</v>
          </cell>
        </row>
        <row r="431">
          <cell r="A431">
            <v>41844</v>
          </cell>
        </row>
        <row r="432">
          <cell r="A432">
            <v>41845</v>
          </cell>
        </row>
        <row r="433">
          <cell r="A433">
            <v>41848</v>
          </cell>
        </row>
        <row r="434">
          <cell r="A434">
            <v>41849</v>
          </cell>
        </row>
        <row r="435">
          <cell r="A435">
            <v>41850</v>
          </cell>
        </row>
        <row r="436">
          <cell r="A436">
            <v>41851</v>
          </cell>
        </row>
        <row r="437">
          <cell r="A437">
            <v>41852</v>
          </cell>
        </row>
        <row r="438">
          <cell r="A438">
            <v>41855</v>
          </cell>
        </row>
        <row r="439">
          <cell r="A439">
            <v>41856</v>
          </cell>
        </row>
        <row r="440">
          <cell r="A440">
            <v>41857</v>
          </cell>
        </row>
        <row r="441">
          <cell r="A441">
            <v>41858</v>
          </cell>
        </row>
        <row r="442">
          <cell r="A442">
            <v>41859</v>
          </cell>
        </row>
        <row r="443">
          <cell r="A443">
            <v>41862</v>
          </cell>
        </row>
        <row r="444">
          <cell r="A444">
            <v>41863</v>
          </cell>
        </row>
        <row r="445">
          <cell r="A445">
            <v>41864</v>
          </cell>
        </row>
        <row r="446">
          <cell r="A446">
            <v>41865</v>
          </cell>
        </row>
        <row r="447">
          <cell r="A447">
            <v>41866</v>
          </cell>
        </row>
        <row r="448">
          <cell r="A448">
            <v>41869</v>
          </cell>
        </row>
        <row r="449">
          <cell r="A449">
            <v>41870</v>
          </cell>
        </row>
        <row r="450">
          <cell r="A450">
            <v>41871</v>
          </cell>
        </row>
        <row r="451">
          <cell r="A451">
            <v>41872</v>
          </cell>
        </row>
        <row r="452">
          <cell r="A452">
            <v>41873</v>
          </cell>
        </row>
        <row r="453">
          <cell r="A453">
            <v>41876</v>
          </cell>
        </row>
        <row r="454">
          <cell r="A454">
            <v>41877</v>
          </cell>
        </row>
        <row r="455">
          <cell r="A455">
            <v>41878</v>
          </cell>
        </row>
        <row r="456">
          <cell r="A456">
            <v>41879</v>
          </cell>
        </row>
        <row r="457">
          <cell r="A457">
            <v>41880</v>
          </cell>
        </row>
        <row r="458">
          <cell r="A458">
            <v>41883</v>
          </cell>
        </row>
        <row r="459">
          <cell r="A459">
            <v>41884</v>
          </cell>
        </row>
        <row r="460">
          <cell r="A460">
            <v>41885</v>
          </cell>
        </row>
        <row r="461">
          <cell r="A461">
            <v>41886</v>
          </cell>
        </row>
        <row r="462">
          <cell r="A462">
            <v>41887</v>
          </cell>
        </row>
        <row r="463">
          <cell r="A463">
            <v>41890</v>
          </cell>
        </row>
        <row r="464">
          <cell r="A464">
            <v>41891</v>
          </cell>
        </row>
        <row r="465">
          <cell r="A465">
            <v>41892</v>
          </cell>
        </row>
        <row r="466">
          <cell r="A466">
            <v>41893</v>
          </cell>
        </row>
        <row r="467">
          <cell r="A467">
            <v>41894</v>
          </cell>
        </row>
        <row r="468">
          <cell r="A468">
            <v>41897</v>
          </cell>
        </row>
        <row r="469">
          <cell r="A469">
            <v>41898</v>
          </cell>
        </row>
        <row r="470">
          <cell r="A470">
            <v>41899</v>
          </cell>
        </row>
        <row r="471">
          <cell r="A471">
            <v>41900</v>
          </cell>
        </row>
        <row r="472">
          <cell r="A472">
            <v>41901</v>
          </cell>
        </row>
        <row r="473">
          <cell r="A473">
            <v>41904</v>
          </cell>
        </row>
        <row r="474">
          <cell r="A474">
            <v>41905</v>
          </cell>
        </row>
        <row r="475">
          <cell r="A475">
            <v>41906</v>
          </cell>
        </row>
        <row r="476">
          <cell r="A476">
            <v>41907</v>
          </cell>
        </row>
        <row r="477">
          <cell r="A477">
            <v>41908</v>
          </cell>
        </row>
        <row r="478">
          <cell r="A478">
            <v>41911</v>
          </cell>
        </row>
        <row r="479">
          <cell r="A479">
            <v>41912</v>
          </cell>
        </row>
        <row r="480">
          <cell r="A480">
            <v>41913</v>
          </cell>
        </row>
        <row r="481">
          <cell r="A481">
            <v>41914</v>
          </cell>
        </row>
        <row r="482">
          <cell r="A482">
            <v>41915</v>
          </cell>
        </row>
        <row r="483">
          <cell r="A483">
            <v>41918</v>
          </cell>
        </row>
        <row r="484">
          <cell r="A484">
            <v>41919</v>
          </cell>
        </row>
        <row r="485">
          <cell r="A485">
            <v>41920</v>
          </cell>
        </row>
        <row r="486">
          <cell r="A486">
            <v>41921</v>
          </cell>
        </row>
        <row r="487">
          <cell r="A487">
            <v>41922</v>
          </cell>
        </row>
        <row r="488">
          <cell r="A488">
            <v>41925</v>
          </cell>
        </row>
        <row r="489">
          <cell r="A489">
            <v>41926</v>
          </cell>
        </row>
        <row r="490">
          <cell r="A490">
            <v>41927</v>
          </cell>
        </row>
        <row r="491">
          <cell r="A491">
            <v>41928</v>
          </cell>
        </row>
        <row r="492">
          <cell r="A492">
            <v>41929</v>
          </cell>
        </row>
        <row r="493">
          <cell r="A493">
            <v>41932</v>
          </cell>
        </row>
        <row r="494">
          <cell r="A494">
            <v>41933</v>
          </cell>
        </row>
        <row r="495">
          <cell r="A495">
            <v>41934</v>
          </cell>
        </row>
        <row r="496">
          <cell r="A496">
            <v>41935</v>
          </cell>
        </row>
        <row r="497">
          <cell r="A497">
            <v>41936</v>
          </cell>
        </row>
        <row r="498">
          <cell r="A498">
            <v>41939</v>
          </cell>
        </row>
        <row r="499">
          <cell r="A499">
            <v>41940</v>
          </cell>
        </row>
        <row r="500">
          <cell r="A500">
            <v>41941</v>
          </cell>
        </row>
        <row r="501">
          <cell r="A501">
            <v>41942</v>
          </cell>
        </row>
        <row r="502">
          <cell r="A502">
            <v>41943</v>
          </cell>
        </row>
        <row r="503">
          <cell r="A503">
            <v>41946</v>
          </cell>
        </row>
        <row r="504">
          <cell r="A504">
            <v>41947</v>
          </cell>
        </row>
        <row r="505">
          <cell r="A505">
            <v>41948</v>
          </cell>
        </row>
        <row r="506">
          <cell r="A506">
            <v>41949</v>
          </cell>
        </row>
        <row r="507">
          <cell r="A507">
            <v>41950</v>
          </cell>
        </row>
        <row r="508">
          <cell r="A508">
            <v>41953</v>
          </cell>
        </row>
        <row r="509">
          <cell r="A509">
            <v>41954</v>
          </cell>
        </row>
        <row r="510">
          <cell r="A510">
            <v>41955</v>
          </cell>
        </row>
        <row r="511">
          <cell r="A511">
            <v>41956</v>
          </cell>
        </row>
        <row r="512">
          <cell r="A512">
            <v>41957</v>
          </cell>
        </row>
        <row r="513">
          <cell r="A513">
            <v>41960</v>
          </cell>
        </row>
        <row r="514">
          <cell r="A514">
            <v>41961</v>
          </cell>
        </row>
        <row r="515">
          <cell r="A515">
            <v>41962</v>
          </cell>
        </row>
        <row r="516">
          <cell r="A516">
            <v>41963</v>
          </cell>
        </row>
        <row r="517">
          <cell r="A517">
            <v>41964</v>
          </cell>
        </row>
        <row r="518">
          <cell r="A518">
            <v>41967</v>
          </cell>
        </row>
        <row r="519">
          <cell r="A519">
            <v>41968</v>
          </cell>
        </row>
        <row r="520">
          <cell r="A520">
            <v>41969</v>
          </cell>
        </row>
        <row r="521">
          <cell r="A521">
            <v>41970</v>
          </cell>
        </row>
        <row r="522">
          <cell r="A522">
            <v>41971</v>
          </cell>
        </row>
        <row r="523">
          <cell r="A523">
            <v>41974</v>
          </cell>
        </row>
        <row r="524">
          <cell r="A524">
            <v>41975</v>
          </cell>
        </row>
        <row r="525">
          <cell r="A525">
            <v>41976</v>
          </cell>
        </row>
        <row r="526">
          <cell r="A526">
            <v>41977</v>
          </cell>
        </row>
        <row r="527">
          <cell r="A527">
            <v>41978</v>
          </cell>
        </row>
        <row r="528">
          <cell r="A528">
            <v>41981</v>
          </cell>
        </row>
        <row r="529">
          <cell r="A529">
            <v>41982</v>
          </cell>
        </row>
        <row r="530">
          <cell r="A530">
            <v>41983</v>
          </cell>
        </row>
        <row r="531">
          <cell r="A531">
            <v>41984</v>
          </cell>
        </row>
        <row r="532">
          <cell r="A532">
            <v>41985</v>
          </cell>
        </row>
        <row r="533">
          <cell r="A533">
            <v>41988</v>
          </cell>
        </row>
        <row r="534">
          <cell r="A534">
            <v>41989</v>
          </cell>
        </row>
        <row r="535">
          <cell r="A535">
            <v>41990</v>
          </cell>
        </row>
        <row r="536">
          <cell r="A536">
            <v>41991</v>
          </cell>
        </row>
        <row r="537">
          <cell r="A537">
            <v>41992</v>
          </cell>
        </row>
        <row r="538">
          <cell r="A538">
            <v>41995</v>
          </cell>
        </row>
        <row r="539">
          <cell r="A539">
            <v>41996</v>
          </cell>
        </row>
        <row r="540">
          <cell r="A540">
            <v>41997</v>
          </cell>
        </row>
        <row r="541">
          <cell r="A541">
            <v>41998</v>
          </cell>
        </row>
        <row r="542">
          <cell r="A542">
            <v>41999</v>
          </cell>
        </row>
        <row r="543">
          <cell r="A543">
            <v>42002</v>
          </cell>
        </row>
        <row r="544">
          <cell r="A544">
            <v>42003</v>
          </cell>
        </row>
        <row r="545">
          <cell r="A545">
            <v>42004</v>
          </cell>
        </row>
        <row r="546">
          <cell r="A546">
            <v>42005</v>
          </cell>
        </row>
        <row r="547">
          <cell r="A547">
            <v>42006</v>
          </cell>
        </row>
        <row r="548">
          <cell r="A548">
            <v>42009</v>
          </cell>
        </row>
        <row r="549">
          <cell r="A549">
            <v>42010</v>
          </cell>
        </row>
        <row r="550">
          <cell r="A550">
            <v>42011</v>
          </cell>
        </row>
        <row r="551">
          <cell r="A551">
            <v>42012</v>
          </cell>
        </row>
        <row r="552">
          <cell r="A552">
            <v>42013</v>
          </cell>
        </row>
        <row r="553">
          <cell r="A553">
            <v>42016</v>
          </cell>
        </row>
        <row r="554">
          <cell r="A554">
            <v>42017</v>
          </cell>
        </row>
        <row r="555">
          <cell r="A555">
            <v>42018</v>
          </cell>
        </row>
        <row r="556">
          <cell r="A556">
            <v>42019</v>
          </cell>
        </row>
        <row r="557">
          <cell r="A557">
            <v>42020</v>
          </cell>
        </row>
        <row r="558">
          <cell r="A558">
            <v>42023</v>
          </cell>
        </row>
        <row r="559">
          <cell r="A559">
            <v>42024</v>
          </cell>
        </row>
        <row r="560">
          <cell r="A560">
            <v>42025</v>
          </cell>
        </row>
        <row r="561">
          <cell r="A561">
            <v>42026</v>
          </cell>
        </row>
        <row r="562">
          <cell r="A562">
            <v>42027</v>
          </cell>
        </row>
        <row r="563">
          <cell r="A563">
            <v>42030</v>
          </cell>
        </row>
        <row r="564">
          <cell r="A564">
            <v>42031</v>
          </cell>
        </row>
        <row r="565">
          <cell r="A565">
            <v>42032</v>
          </cell>
        </row>
        <row r="566">
          <cell r="A566">
            <v>42033</v>
          </cell>
        </row>
        <row r="567">
          <cell r="A567">
            <v>42034</v>
          </cell>
        </row>
        <row r="568">
          <cell r="A568">
            <v>42037</v>
          </cell>
        </row>
        <row r="569">
          <cell r="A569">
            <v>42038</v>
          </cell>
        </row>
        <row r="570">
          <cell r="A570">
            <v>42039</v>
          </cell>
        </row>
        <row r="571">
          <cell r="A571">
            <v>42040</v>
          </cell>
        </row>
        <row r="572">
          <cell r="A572">
            <v>42041</v>
          </cell>
        </row>
        <row r="573">
          <cell r="A573">
            <v>42044</v>
          </cell>
        </row>
        <row r="574">
          <cell r="A574">
            <v>42045</v>
          </cell>
        </row>
        <row r="575">
          <cell r="A575">
            <v>42046</v>
          </cell>
        </row>
        <row r="576">
          <cell r="A576">
            <v>42047</v>
          </cell>
        </row>
        <row r="577">
          <cell r="A577">
            <v>42048</v>
          </cell>
        </row>
        <row r="578">
          <cell r="A578">
            <v>42051</v>
          </cell>
        </row>
        <row r="579">
          <cell r="A579">
            <v>42052</v>
          </cell>
        </row>
        <row r="580">
          <cell r="A580">
            <v>42053</v>
          </cell>
        </row>
        <row r="581">
          <cell r="A581">
            <v>42054</v>
          </cell>
        </row>
        <row r="582">
          <cell r="A582">
            <v>42055</v>
          </cell>
        </row>
        <row r="583">
          <cell r="A583">
            <v>42058</v>
          </cell>
        </row>
        <row r="584">
          <cell r="A584">
            <v>42059</v>
          </cell>
        </row>
        <row r="585">
          <cell r="A585">
            <v>42060</v>
          </cell>
        </row>
        <row r="586">
          <cell r="A586">
            <v>42061</v>
          </cell>
        </row>
        <row r="587">
          <cell r="A587">
            <v>42062</v>
          </cell>
        </row>
        <row r="588">
          <cell r="A588">
            <v>42065</v>
          </cell>
        </row>
        <row r="589">
          <cell r="A589">
            <v>42066</v>
          </cell>
        </row>
        <row r="590">
          <cell r="A590">
            <v>42067</v>
          </cell>
        </row>
        <row r="591">
          <cell r="A591">
            <v>42068</v>
          </cell>
        </row>
        <row r="592">
          <cell r="A592">
            <v>42069</v>
          </cell>
        </row>
        <row r="593">
          <cell r="A593">
            <v>42072</v>
          </cell>
        </row>
        <row r="594">
          <cell r="A594">
            <v>42073</v>
          </cell>
        </row>
        <row r="595">
          <cell r="A595">
            <v>42074</v>
          </cell>
        </row>
        <row r="596">
          <cell r="A596">
            <v>42075</v>
          </cell>
        </row>
        <row r="597">
          <cell r="A597">
            <v>42076</v>
          </cell>
        </row>
        <row r="598">
          <cell r="A598">
            <v>42079</v>
          </cell>
        </row>
        <row r="599">
          <cell r="A599">
            <v>42080</v>
          </cell>
        </row>
        <row r="600">
          <cell r="A600">
            <v>42081</v>
          </cell>
        </row>
        <row r="601">
          <cell r="A601">
            <v>42082</v>
          </cell>
        </row>
        <row r="602">
          <cell r="A602">
            <v>42083</v>
          </cell>
        </row>
        <row r="603">
          <cell r="A603">
            <v>42086</v>
          </cell>
        </row>
        <row r="604">
          <cell r="A604">
            <v>42087</v>
          </cell>
        </row>
        <row r="605">
          <cell r="A605">
            <v>42088</v>
          </cell>
        </row>
        <row r="606">
          <cell r="A606">
            <v>42089</v>
          </cell>
        </row>
        <row r="607">
          <cell r="A607">
            <v>42090</v>
          </cell>
        </row>
        <row r="608">
          <cell r="A608">
            <v>42093</v>
          </cell>
        </row>
        <row r="609">
          <cell r="A609">
            <v>42094</v>
          </cell>
        </row>
        <row r="610">
          <cell r="A610">
            <v>42095</v>
          </cell>
        </row>
        <row r="611">
          <cell r="A611">
            <v>42096</v>
          </cell>
        </row>
        <row r="612">
          <cell r="A612">
            <v>42097</v>
          </cell>
        </row>
        <row r="613">
          <cell r="A613">
            <v>42100</v>
          </cell>
        </row>
        <row r="614">
          <cell r="A614">
            <v>42101</v>
          </cell>
        </row>
        <row r="615">
          <cell r="A615">
            <v>42102</v>
          </cell>
        </row>
        <row r="616">
          <cell r="A616">
            <v>42103</v>
          </cell>
        </row>
        <row r="617">
          <cell r="A617">
            <v>42104</v>
          </cell>
        </row>
        <row r="618">
          <cell r="A618">
            <v>42107</v>
          </cell>
        </row>
        <row r="619">
          <cell r="A619">
            <v>42108</v>
          </cell>
        </row>
        <row r="620">
          <cell r="A620">
            <v>42109</v>
          </cell>
        </row>
        <row r="621">
          <cell r="A621">
            <v>42110</v>
          </cell>
        </row>
        <row r="622">
          <cell r="A622">
            <v>42111</v>
          </cell>
        </row>
        <row r="623">
          <cell r="A623">
            <v>42114</v>
          </cell>
        </row>
        <row r="624">
          <cell r="A624">
            <v>42115</v>
          </cell>
        </row>
        <row r="625">
          <cell r="A625">
            <v>42116</v>
          </cell>
        </row>
        <row r="626">
          <cell r="A626">
            <v>42117</v>
          </cell>
        </row>
        <row r="627">
          <cell r="A627">
            <v>42118</v>
          </cell>
        </row>
        <row r="628">
          <cell r="A628">
            <v>42121</v>
          </cell>
        </row>
        <row r="629">
          <cell r="A629">
            <v>42122</v>
          </cell>
        </row>
        <row r="630">
          <cell r="A630">
            <v>42123</v>
          </cell>
        </row>
        <row r="631">
          <cell r="A631">
            <v>42124</v>
          </cell>
        </row>
        <row r="632">
          <cell r="A632">
            <v>42125</v>
          </cell>
        </row>
        <row r="633">
          <cell r="A633">
            <v>42128</v>
          </cell>
        </row>
        <row r="634">
          <cell r="A634">
            <v>42129</v>
          </cell>
        </row>
        <row r="635">
          <cell r="A635">
            <v>42130</v>
          </cell>
        </row>
        <row r="636">
          <cell r="A636">
            <v>42131</v>
          </cell>
        </row>
        <row r="637">
          <cell r="A637">
            <v>42132</v>
          </cell>
        </row>
        <row r="638">
          <cell r="A638">
            <v>42135</v>
          </cell>
        </row>
        <row r="639">
          <cell r="A639">
            <v>42136</v>
          </cell>
        </row>
        <row r="640">
          <cell r="A640">
            <v>42137</v>
          </cell>
        </row>
        <row r="641">
          <cell r="A641">
            <v>42138</v>
          </cell>
        </row>
        <row r="642">
          <cell r="A642">
            <v>42139</v>
          </cell>
        </row>
        <row r="643">
          <cell r="A643">
            <v>42142</v>
          </cell>
        </row>
        <row r="644">
          <cell r="A644">
            <v>42143</v>
          </cell>
        </row>
        <row r="645">
          <cell r="A645">
            <v>42144</v>
          </cell>
        </row>
        <row r="646">
          <cell r="A646">
            <v>42145</v>
          </cell>
        </row>
        <row r="647">
          <cell r="A647">
            <v>42146</v>
          </cell>
        </row>
        <row r="648">
          <cell r="A648">
            <v>42149</v>
          </cell>
        </row>
        <row r="649">
          <cell r="A649">
            <v>42150</v>
          </cell>
        </row>
        <row r="650">
          <cell r="A650">
            <v>42151</v>
          </cell>
        </row>
        <row r="651">
          <cell r="A651">
            <v>42152</v>
          </cell>
        </row>
        <row r="652">
          <cell r="A652">
            <v>42153</v>
          </cell>
        </row>
        <row r="653">
          <cell r="A653">
            <v>42156</v>
          </cell>
        </row>
        <row r="654">
          <cell r="A654">
            <v>42157</v>
          </cell>
        </row>
        <row r="655">
          <cell r="A655">
            <v>42158</v>
          </cell>
        </row>
        <row r="656">
          <cell r="A656">
            <v>42159</v>
          </cell>
        </row>
        <row r="657">
          <cell r="A657">
            <v>42160</v>
          </cell>
        </row>
        <row r="658">
          <cell r="A658">
            <v>42163</v>
          </cell>
        </row>
        <row r="659">
          <cell r="A659">
            <v>42164</v>
          </cell>
        </row>
        <row r="660">
          <cell r="A660">
            <v>42165</v>
          </cell>
        </row>
        <row r="661">
          <cell r="A661">
            <v>42166</v>
          </cell>
        </row>
        <row r="662">
          <cell r="A662">
            <v>42167</v>
          </cell>
        </row>
        <row r="663">
          <cell r="A663">
            <v>42170</v>
          </cell>
        </row>
        <row r="664">
          <cell r="A664">
            <v>42171</v>
          </cell>
        </row>
        <row r="665">
          <cell r="A665">
            <v>42172</v>
          </cell>
        </row>
        <row r="666">
          <cell r="A666">
            <v>42173</v>
          </cell>
        </row>
        <row r="667">
          <cell r="A667">
            <v>42174</v>
          </cell>
        </row>
        <row r="668">
          <cell r="A668">
            <v>42177</v>
          </cell>
        </row>
        <row r="669">
          <cell r="A669">
            <v>42178</v>
          </cell>
        </row>
        <row r="670">
          <cell r="A670">
            <v>42179</v>
          </cell>
        </row>
        <row r="671">
          <cell r="A671">
            <v>42180</v>
          </cell>
        </row>
        <row r="672">
          <cell r="A672">
            <v>42181</v>
          </cell>
        </row>
        <row r="673">
          <cell r="A673">
            <v>42184</v>
          </cell>
        </row>
        <row r="674">
          <cell r="A674">
            <v>42185</v>
          </cell>
        </row>
        <row r="675">
          <cell r="A675">
            <v>42186</v>
          </cell>
        </row>
        <row r="676">
          <cell r="A676">
            <v>42187</v>
          </cell>
        </row>
        <row r="677">
          <cell r="A677">
            <v>42188</v>
          </cell>
        </row>
        <row r="678">
          <cell r="A678">
            <v>42191</v>
          </cell>
        </row>
        <row r="679">
          <cell r="A679">
            <v>42192</v>
          </cell>
        </row>
        <row r="680">
          <cell r="A680">
            <v>42193</v>
          </cell>
        </row>
        <row r="681">
          <cell r="A681">
            <v>42194</v>
          </cell>
        </row>
        <row r="682">
          <cell r="A682">
            <v>42195</v>
          </cell>
        </row>
        <row r="683">
          <cell r="A683">
            <v>42198</v>
          </cell>
        </row>
        <row r="684">
          <cell r="A684">
            <v>42199</v>
          </cell>
        </row>
        <row r="685">
          <cell r="A685">
            <v>42200</v>
          </cell>
        </row>
        <row r="686">
          <cell r="A686">
            <v>42201</v>
          </cell>
        </row>
        <row r="687">
          <cell r="A687">
            <v>42202</v>
          </cell>
        </row>
        <row r="688">
          <cell r="A688">
            <v>42205</v>
          </cell>
        </row>
        <row r="689">
          <cell r="A689">
            <v>42206</v>
          </cell>
        </row>
        <row r="690">
          <cell r="A690">
            <v>42207</v>
          </cell>
        </row>
        <row r="691">
          <cell r="A691">
            <v>42208</v>
          </cell>
        </row>
        <row r="692">
          <cell r="A692">
            <v>42209</v>
          </cell>
        </row>
        <row r="693">
          <cell r="A693">
            <v>42212</v>
          </cell>
        </row>
        <row r="694">
          <cell r="A694">
            <v>42213</v>
          </cell>
        </row>
        <row r="695">
          <cell r="A695">
            <v>42214</v>
          </cell>
        </row>
        <row r="696">
          <cell r="A696">
            <v>42215</v>
          </cell>
        </row>
        <row r="697">
          <cell r="A697">
            <v>42216</v>
          </cell>
        </row>
        <row r="698">
          <cell r="A698">
            <v>42219</v>
          </cell>
        </row>
        <row r="699">
          <cell r="A699">
            <v>42220</v>
          </cell>
        </row>
        <row r="700">
          <cell r="A700">
            <v>42221</v>
          </cell>
        </row>
        <row r="701">
          <cell r="A701">
            <v>42222</v>
          </cell>
        </row>
        <row r="702">
          <cell r="A702">
            <v>42223</v>
          </cell>
        </row>
        <row r="703">
          <cell r="A703">
            <v>42226</v>
          </cell>
        </row>
        <row r="704">
          <cell r="A704">
            <v>42227</v>
          </cell>
        </row>
        <row r="705">
          <cell r="A705">
            <v>42228</v>
          </cell>
        </row>
        <row r="706">
          <cell r="A706">
            <v>42229</v>
          </cell>
        </row>
        <row r="707">
          <cell r="A707">
            <v>42230</v>
          </cell>
        </row>
        <row r="708">
          <cell r="A708">
            <v>42233</v>
          </cell>
        </row>
        <row r="709">
          <cell r="A709">
            <v>42234</v>
          </cell>
        </row>
        <row r="710">
          <cell r="A710">
            <v>42235</v>
          </cell>
        </row>
        <row r="711">
          <cell r="A711">
            <v>42236</v>
          </cell>
        </row>
        <row r="712">
          <cell r="A712">
            <v>42237</v>
          </cell>
        </row>
        <row r="713">
          <cell r="A713">
            <v>42240</v>
          </cell>
        </row>
        <row r="714">
          <cell r="A714">
            <v>42241</v>
          </cell>
        </row>
        <row r="715">
          <cell r="A715">
            <v>42242</v>
          </cell>
        </row>
        <row r="716">
          <cell r="A716">
            <v>42243</v>
          </cell>
        </row>
        <row r="717">
          <cell r="A717">
            <v>42244</v>
          </cell>
        </row>
        <row r="718">
          <cell r="A718">
            <v>42247</v>
          </cell>
        </row>
        <row r="719">
          <cell r="A719">
            <v>42248</v>
          </cell>
        </row>
        <row r="720">
          <cell r="A720">
            <v>42249</v>
          </cell>
        </row>
        <row r="721">
          <cell r="A721">
            <v>42250</v>
          </cell>
        </row>
        <row r="722">
          <cell r="A722">
            <v>42251</v>
          </cell>
        </row>
        <row r="723">
          <cell r="A723">
            <v>42254</v>
          </cell>
        </row>
        <row r="724">
          <cell r="A724">
            <v>42255</v>
          </cell>
        </row>
        <row r="725">
          <cell r="A725">
            <v>42256</v>
          </cell>
        </row>
        <row r="726">
          <cell r="A726">
            <v>42257</v>
          </cell>
        </row>
        <row r="727">
          <cell r="A727">
            <v>42258</v>
          </cell>
        </row>
        <row r="728">
          <cell r="A728">
            <v>42261</v>
          </cell>
        </row>
        <row r="729">
          <cell r="A729">
            <v>42262</v>
          </cell>
        </row>
        <row r="730">
          <cell r="A730">
            <v>42263</v>
          </cell>
        </row>
        <row r="731">
          <cell r="A731">
            <v>42264</v>
          </cell>
        </row>
        <row r="732">
          <cell r="A732">
            <v>42265</v>
          </cell>
        </row>
        <row r="733">
          <cell r="A733">
            <v>42268</v>
          </cell>
        </row>
        <row r="734">
          <cell r="A734">
            <v>42269</v>
          </cell>
        </row>
        <row r="735">
          <cell r="A735">
            <v>42270</v>
          </cell>
        </row>
        <row r="736">
          <cell r="A736">
            <v>42271</v>
          </cell>
        </row>
        <row r="737">
          <cell r="A737">
            <v>42272</v>
          </cell>
        </row>
        <row r="738">
          <cell r="A738">
            <v>42275</v>
          </cell>
        </row>
        <row r="739">
          <cell r="A739">
            <v>42276</v>
          </cell>
        </row>
        <row r="740">
          <cell r="A740">
            <v>42277</v>
          </cell>
        </row>
        <row r="741">
          <cell r="A741">
            <v>42278</v>
          </cell>
        </row>
        <row r="742">
          <cell r="A742">
            <v>42279</v>
          </cell>
        </row>
        <row r="743">
          <cell r="A743">
            <v>42282</v>
          </cell>
        </row>
        <row r="744">
          <cell r="A744">
            <v>42283</v>
          </cell>
        </row>
        <row r="745">
          <cell r="A745">
            <v>42284</v>
          </cell>
        </row>
        <row r="746">
          <cell r="A746">
            <v>42285</v>
          </cell>
        </row>
        <row r="747">
          <cell r="A747">
            <v>42286</v>
          </cell>
        </row>
        <row r="748">
          <cell r="A748">
            <v>42289</v>
          </cell>
        </row>
        <row r="749">
          <cell r="A749">
            <v>42290</v>
          </cell>
        </row>
        <row r="750">
          <cell r="A750">
            <v>42291</v>
          </cell>
        </row>
        <row r="751">
          <cell r="A751">
            <v>42292</v>
          </cell>
        </row>
        <row r="752">
          <cell r="A752">
            <v>42293</v>
          </cell>
        </row>
        <row r="753">
          <cell r="A753">
            <v>42296</v>
          </cell>
        </row>
        <row r="754">
          <cell r="A754">
            <v>42297</v>
          </cell>
        </row>
        <row r="755">
          <cell r="A755">
            <v>42298</v>
          </cell>
        </row>
        <row r="756">
          <cell r="A756">
            <v>42299</v>
          </cell>
        </row>
        <row r="757">
          <cell r="A757">
            <v>42300</v>
          </cell>
        </row>
        <row r="758">
          <cell r="A758">
            <v>42303</v>
          </cell>
        </row>
        <row r="759">
          <cell r="A759">
            <v>42304</v>
          </cell>
        </row>
        <row r="760">
          <cell r="A760">
            <v>42305</v>
          </cell>
        </row>
        <row r="761">
          <cell r="A761">
            <v>42306</v>
          </cell>
        </row>
        <row r="762">
          <cell r="A762">
            <v>42307</v>
          </cell>
        </row>
        <row r="763">
          <cell r="A763">
            <v>42310</v>
          </cell>
        </row>
        <row r="764">
          <cell r="A764">
            <v>42311</v>
          </cell>
        </row>
        <row r="765">
          <cell r="A765">
            <v>42312</v>
          </cell>
        </row>
        <row r="766">
          <cell r="A766">
            <v>42313</v>
          </cell>
        </row>
        <row r="767">
          <cell r="A767">
            <v>42314</v>
          </cell>
        </row>
        <row r="768">
          <cell r="A768">
            <v>42317</v>
          </cell>
        </row>
        <row r="769">
          <cell r="A769">
            <v>42318</v>
          </cell>
        </row>
        <row r="770">
          <cell r="A770">
            <v>42319</v>
          </cell>
        </row>
        <row r="771">
          <cell r="A771">
            <v>42320</v>
          </cell>
        </row>
        <row r="772">
          <cell r="A772">
            <v>42321</v>
          </cell>
        </row>
        <row r="773">
          <cell r="A773">
            <v>42324</v>
          </cell>
        </row>
        <row r="774">
          <cell r="A774">
            <v>42325</v>
          </cell>
        </row>
        <row r="775">
          <cell r="A775">
            <v>42326</v>
          </cell>
        </row>
        <row r="776">
          <cell r="A776">
            <v>42327</v>
          </cell>
        </row>
        <row r="777">
          <cell r="A777">
            <v>42328</v>
          </cell>
        </row>
        <row r="778">
          <cell r="A778">
            <v>42331</v>
          </cell>
        </row>
        <row r="779">
          <cell r="A779">
            <v>42332</v>
          </cell>
        </row>
        <row r="780">
          <cell r="A780">
            <v>42333</v>
          </cell>
        </row>
        <row r="781">
          <cell r="A781">
            <v>42334</v>
          </cell>
        </row>
        <row r="782">
          <cell r="A782">
            <v>42335</v>
          </cell>
        </row>
        <row r="783">
          <cell r="A783">
            <v>42338</v>
          </cell>
        </row>
        <row r="784">
          <cell r="A784">
            <v>42339</v>
          </cell>
        </row>
        <row r="785">
          <cell r="A785">
            <v>42340</v>
          </cell>
        </row>
        <row r="786">
          <cell r="A786">
            <v>42341</v>
          </cell>
        </row>
        <row r="787">
          <cell r="A787">
            <v>42342</v>
          </cell>
        </row>
        <row r="788">
          <cell r="A788">
            <v>42345</v>
          </cell>
        </row>
        <row r="789">
          <cell r="A789">
            <v>42346</v>
          </cell>
        </row>
        <row r="790">
          <cell r="A790">
            <v>42347</v>
          </cell>
        </row>
        <row r="791">
          <cell r="A791">
            <v>42348</v>
          </cell>
        </row>
        <row r="792">
          <cell r="A792">
            <v>42349</v>
          </cell>
        </row>
        <row r="793">
          <cell r="A793">
            <v>42352</v>
          </cell>
        </row>
        <row r="794">
          <cell r="A794">
            <v>42353</v>
          </cell>
        </row>
        <row r="795">
          <cell r="A795">
            <v>42354</v>
          </cell>
        </row>
        <row r="796">
          <cell r="A796">
            <v>42355</v>
          </cell>
        </row>
        <row r="797">
          <cell r="A797">
            <v>42356</v>
          </cell>
        </row>
        <row r="798">
          <cell r="A798">
            <v>42359</v>
          </cell>
        </row>
        <row r="799">
          <cell r="A799">
            <v>42360</v>
          </cell>
        </row>
        <row r="800">
          <cell r="A800">
            <v>42361</v>
          </cell>
        </row>
        <row r="801">
          <cell r="A801">
            <v>42362</v>
          </cell>
        </row>
        <row r="802">
          <cell r="A802">
            <v>42363</v>
          </cell>
        </row>
        <row r="803">
          <cell r="A803">
            <v>42366</v>
          </cell>
        </row>
        <row r="804">
          <cell r="A804">
            <v>42367</v>
          </cell>
        </row>
        <row r="805">
          <cell r="A805">
            <v>42368</v>
          </cell>
        </row>
        <row r="806">
          <cell r="A806">
            <v>42369</v>
          </cell>
        </row>
        <row r="807">
          <cell r="A807">
            <v>42370</v>
          </cell>
        </row>
        <row r="808">
          <cell r="A808">
            <v>42373</v>
          </cell>
        </row>
        <row r="809">
          <cell r="A809">
            <v>42374</v>
          </cell>
        </row>
        <row r="810">
          <cell r="A810">
            <v>42375</v>
          </cell>
        </row>
        <row r="811">
          <cell r="A811">
            <v>42376</v>
          </cell>
        </row>
        <row r="812">
          <cell r="A812">
            <v>42377</v>
          </cell>
        </row>
        <row r="813">
          <cell r="A813">
            <v>42380</v>
          </cell>
        </row>
        <row r="814">
          <cell r="A814">
            <v>42381</v>
          </cell>
        </row>
        <row r="815">
          <cell r="A815">
            <v>42382</v>
          </cell>
        </row>
        <row r="816">
          <cell r="A816">
            <v>42383</v>
          </cell>
        </row>
        <row r="817">
          <cell r="A817">
            <v>42384</v>
          </cell>
        </row>
        <row r="818">
          <cell r="A818">
            <v>42387</v>
          </cell>
        </row>
        <row r="819">
          <cell r="A819">
            <v>42388</v>
          </cell>
        </row>
        <row r="820">
          <cell r="A820">
            <v>42389</v>
          </cell>
        </row>
        <row r="821">
          <cell r="A821">
            <v>42390</v>
          </cell>
        </row>
        <row r="822">
          <cell r="A822">
            <v>42391</v>
          </cell>
        </row>
        <row r="823">
          <cell r="A823">
            <v>42394</v>
          </cell>
        </row>
        <row r="824">
          <cell r="A824">
            <v>42395</v>
          </cell>
        </row>
        <row r="825">
          <cell r="A825">
            <v>42396</v>
          </cell>
        </row>
        <row r="826">
          <cell r="A826">
            <v>42397</v>
          </cell>
        </row>
        <row r="827">
          <cell r="A827">
            <v>42398</v>
          </cell>
        </row>
        <row r="828">
          <cell r="A828">
            <v>42401</v>
          </cell>
        </row>
        <row r="829">
          <cell r="A829">
            <v>42402</v>
          </cell>
        </row>
        <row r="830">
          <cell r="A830">
            <v>42403</v>
          </cell>
        </row>
        <row r="831">
          <cell r="A831">
            <v>42404</v>
          </cell>
        </row>
        <row r="832">
          <cell r="A832">
            <v>42405</v>
          </cell>
        </row>
        <row r="833">
          <cell r="A833">
            <v>42408</v>
          </cell>
        </row>
        <row r="834">
          <cell r="A834">
            <v>42409</v>
          </cell>
        </row>
        <row r="835">
          <cell r="A835">
            <v>42410</v>
          </cell>
        </row>
        <row r="836">
          <cell r="A836">
            <v>42411</v>
          </cell>
        </row>
        <row r="837">
          <cell r="A837">
            <v>42412</v>
          </cell>
        </row>
        <row r="838">
          <cell r="A838">
            <v>42415</v>
          </cell>
        </row>
        <row r="839">
          <cell r="A839">
            <v>42416</v>
          </cell>
        </row>
        <row r="840">
          <cell r="A840">
            <v>42417</v>
          </cell>
        </row>
        <row r="841">
          <cell r="A841">
            <v>42418</v>
          </cell>
        </row>
        <row r="842">
          <cell r="A842">
            <v>42419</v>
          </cell>
        </row>
        <row r="843">
          <cell r="A843">
            <v>42422</v>
          </cell>
        </row>
        <row r="844">
          <cell r="A844">
            <v>42423</v>
          </cell>
        </row>
        <row r="845">
          <cell r="A845">
            <v>42424</v>
          </cell>
        </row>
        <row r="846">
          <cell r="A846">
            <v>42425</v>
          </cell>
        </row>
        <row r="847">
          <cell r="A847">
            <v>42426</v>
          </cell>
        </row>
        <row r="848">
          <cell r="A848">
            <v>42429</v>
          </cell>
        </row>
        <row r="849">
          <cell r="A849">
            <v>42430</v>
          </cell>
        </row>
        <row r="850">
          <cell r="A850">
            <v>42431</v>
          </cell>
        </row>
        <row r="851">
          <cell r="A851">
            <v>42432</v>
          </cell>
        </row>
        <row r="852">
          <cell r="A852">
            <v>42433</v>
          </cell>
        </row>
        <row r="853">
          <cell r="A853">
            <v>42436</v>
          </cell>
        </row>
        <row r="854">
          <cell r="A854">
            <v>42437</v>
          </cell>
        </row>
        <row r="855">
          <cell r="A855">
            <v>42438</v>
          </cell>
        </row>
        <row r="856">
          <cell r="A856">
            <v>42439</v>
          </cell>
        </row>
        <row r="857">
          <cell r="A857">
            <v>42440</v>
          </cell>
        </row>
        <row r="858">
          <cell r="A858">
            <v>42443</v>
          </cell>
        </row>
        <row r="859">
          <cell r="A859">
            <v>42444</v>
          </cell>
        </row>
        <row r="860">
          <cell r="A860">
            <v>42445</v>
          </cell>
        </row>
        <row r="861">
          <cell r="A861">
            <v>42446</v>
          </cell>
        </row>
        <row r="862">
          <cell r="A862">
            <v>42447</v>
          </cell>
        </row>
        <row r="863">
          <cell r="A863">
            <v>42450</v>
          </cell>
        </row>
        <row r="864">
          <cell r="A864">
            <v>42451</v>
          </cell>
        </row>
        <row r="865">
          <cell r="A865">
            <v>42452</v>
          </cell>
        </row>
        <row r="866">
          <cell r="A866">
            <v>42453</v>
          </cell>
        </row>
        <row r="867">
          <cell r="A867">
            <v>42454</v>
          </cell>
        </row>
        <row r="868">
          <cell r="A868">
            <v>42457</v>
          </cell>
        </row>
        <row r="869">
          <cell r="A869">
            <v>42458</v>
          </cell>
        </row>
        <row r="870">
          <cell r="A870">
            <v>42459</v>
          </cell>
        </row>
        <row r="871">
          <cell r="A871">
            <v>42460</v>
          </cell>
        </row>
        <row r="872">
          <cell r="A872">
            <v>42461</v>
          </cell>
        </row>
        <row r="873">
          <cell r="A873">
            <v>42464</v>
          </cell>
        </row>
        <row r="874">
          <cell r="A874">
            <v>42465</v>
          </cell>
        </row>
        <row r="875">
          <cell r="A875">
            <v>42466</v>
          </cell>
        </row>
        <row r="876">
          <cell r="A876">
            <v>42467</v>
          </cell>
        </row>
        <row r="877">
          <cell r="A877">
            <v>42468</v>
          </cell>
        </row>
        <row r="878">
          <cell r="A878">
            <v>42471</v>
          </cell>
        </row>
        <row r="879">
          <cell r="A879">
            <v>42472</v>
          </cell>
        </row>
        <row r="880">
          <cell r="A880">
            <v>42473</v>
          </cell>
        </row>
        <row r="881">
          <cell r="A881">
            <v>42474</v>
          </cell>
        </row>
        <row r="882">
          <cell r="A882">
            <v>42475</v>
          </cell>
        </row>
        <row r="883">
          <cell r="A883">
            <v>42478</v>
          </cell>
        </row>
        <row r="884">
          <cell r="A884">
            <v>42479</v>
          </cell>
        </row>
        <row r="885">
          <cell r="A885">
            <v>42480</v>
          </cell>
        </row>
        <row r="886">
          <cell r="A886">
            <v>42481</v>
          </cell>
        </row>
        <row r="887">
          <cell r="A887">
            <v>42482</v>
          </cell>
        </row>
        <row r="888">
          <cell r="A888">
            <v>42485</v>
          </cell>
        </row>
        <row r="889">
          <cell r="A889">
            <v>42486</v>
          </cell>
        </row>
        <row r="890">
          <cell r="A890">
            <v>42487</v>
          </cell>
        </row>
        <row r="891">
          <cell r="A891">
            <v>42488</v>
          </cell>
        </row>
        <row r="892">
          <cell r="A892">
            <v>42489</v>
          </cell>
        </row>
        <row r="893">
          <cell r="A893">
            <v>42492</v>
          </cell>
        </row>
        <row r="894">
          <cell r="A894">
            <v>42493</v>
          </cell>
        </row>
        <row r="895">
          <cell r="A895">
            <v>42494</v>
          </cell>
        </row>
        <row r="896">
          <cell r="A896">
            <v>42495</v>
          </cell>
        </row>
        <row r="897">
          <cell r="A897">
            <v>42496</v>
          </cell>
        </row>
        <row r="898">
          <cell r="A898">
            <v>42499</v>
          </cell>
        </row>
        <row r="899">
          <cell r="A899">
            <v>42500</v>
          </cell>
        </row>
        <row r="900">
          <cell r="A900">
            <v>42501</v>
          </cell>
        </row>
        <row r="901">
          <cell r="A901">
            <v>42502</v>
          </cell>
        </row>
        <row r="902">
          <cell r="A902">
            <v>42503</v>
          </cell>
        </row>
        <row r="903">
          <cell r="A903">
            <v>42506</v>
          </cell>
        </row>
        <row r="904">
          <cell r="A904">
            <v>42507</v>
          </cell>
        </row>
        <row r="905">
          <cell r="A905">
            <v>42508</v>
          </cell>
        </row>
        <row r="906">
          <cell r="A906">
            <v>42509</v>
          </cell>
        </row>
        <row r="907">
          <cell r="A907">
            <v>42510</v>
          </cell>
        </row>
        <row r="908">
          <cell r="A908">
            <v>42513</v>
          </cell>
        </row>
        <row r="909">
          <cell r="A909">
            <v>42514</v>
          </cell>
        </row>
        <row r="910">
          <cell r="A910">
            <v>42515</v>
          </cell>
        </row>
        <row r="911">
          <cell r="A911">
            <v>42516</v>
          </cell>
        </row>
        <row r="912">
          <cell r="A912">
            <v>42517</v>
          </cell>
        </row>
        <row r="913">
          <cell r="A913">
            <v>42520</v>
          </cell>
        </row>
        <row r="914">
          <cell r="A914">
            <v>42521</v>
          </cell>
        </row>
        <row r="915">
          <cell r="A915">
            <v>42522</v>
          </cell>
        </row>
        <row r="916">
          <cell r="A916">
            <v>42523</v>
          </cell>
        </row>
        <row r="917">
          <cell r="A917">
            <v>42524</v>
          </cell>
        </row>
        <row r="918">
          <cell r="A918">
            <v>42527</v>
          </cell>
        </row>
        <row r="919">
          <cell r="A919">
            <v>42528</v>
          </cell>
        </row>
        <row r="920">
          <cell r="A920">
            <v>42529</v>
          </cell>
        </row>
        <row r="921">
          <cell r="A921">
            <v>42530</v>
          </cell>
        </row>
        <row r="922">
          <cell r="A922">
            <v>42531</v>
          </cell>
        </row>
        <row r="923">
          <cell r="A923">
            <v>42534</v>
          </cell>
        </row>
        <row r="924">
          <cell r="A924">
            <v>42535</v>
          </cell>
        </row>
        <row r="925">
          <cell r="A925">
            <v>42536</v>
          </cell>
        </row>
        <row r="926">
          <cell r="A926">
            <v>42537</v>
          </cell>
        </row>
        <row r="927">
          <cell r="A927">
            <v>42538</v>
          </cell>
        </row>
        <row r="928">
          <cell r="A928">
            <v>42541</v>
          </cell>
        </row>
        <row r="929">
          <cell r="A929">
            <v>42542</v>
          </cell>
        </row>
        <row r="930">
          <cell r="A930">
            <v>42543</v>
          </cell>
        </row>
        <row r="931">
          <cell r="A931">
            <v>42544</v>
          </cell>
        </row>
        <row r="932">
          <cell r="A932">
            <v>42545</v>
          </cell>
        </row>
        <row r="933">
          <cell r="A933">
            <v>42548</v>
          </cell>
        </row>
        <row r="934">
          <cell r="A934">
            <v>42549</v>
          </cell>
        </row>
        <row r="935">
          <cell r="A935">
            <v>42550</v>
          </cell>
        </row>
        <row r="936">
          <cell r="A936">
            <v>42551</v>
          </cell>
        </row>
        <row r="937">
          <cell r="A937">
            <v>42552</v>
          </cell>
        </row>
        <row r="938">
          <cell r="A938">
            <v>42555</v>
          </cell>
        </row>
        <row r="939">
          <cell r="A939">
            <v>42556</v>
          </cell>
        </row>
        <row r="940">
          <cell r="A940">
            <v>42557</v>
          </cell>
        </row>
        <row r="941">
          <cell r="A941">
            <v>42558</v>
          </cell>
        </row>
        <row r="942">
          <cell r="A942">
            <v>42559</v>
          </cell>
        </row>
        <row r="943">
          <cell r="A943">
            <v>42562</v>
          </cell>
        </row>
        <row r="944">
          <cell r="A944">
            <v>42563</v>
          </cell>
        </row>
        <row r="945">
          <cell r="A945">
            <v>42564</v>
          </cell>
        </row>
        <row r="946">
          <cell r="A946">
            <v>42565</v>
          </cell>
        </row>
        <row r="947">
          <cell r="A947">
            <v>42566</v>
          </cell>
        </row>
        <row r="948">
          <cell r="A948">
            <v>42569</v>
          </cell>
        </row>
        <row r="949">
          <cell r="A949">
            <v>42570</v>
          </cell>
        </row>
        <row r="950">
          <cell r="A950">
            <v>42571</v>
          </cell>
        </row>
        <row r="951">
          <cell r="A951">
            <v>42572</v>
          </cell>
        </row>
        <row r="952">
          <cell r="A952">
            <v>42573</v>
          </cell>
        </row>
        <row r="953">
          <cell r="A953">
            <v>42576</v>
          </cell>
        </row>
        <row r="954">
          <cell r="A954">
            <v>42577</v>
          </cell>
        </row>
        <row r="955">
          <cell r="A955">
            <v>42578</v>
          </cell>
        </row>
        <row r="956">
          <cell r="A956">
            <v>42579</v>
          </cell>
        </row>
        <row r="957">
          <cell r="A957">
            <v>42580</v>
          </cell>
        </row>
        <row r="958">
          <cell r="A958">
            <v>42583</v>
          </cell>
        </row>
        <row r="959">
          <cell r="A959">
            <v>42584</v>
          </cell>
        </row>
        <row r="960">
          <cell r="A960">
            <v>42585</v>
          </cell>
        </row>
        <row r="961">
          <cell r="A961">
            <v>42586</v>
          </cell>
        </row>
        <row r="962">
          <cell r="A962">
            <v>42587</v>
          </cell>
        </row>
        <row r="963">
          <cell r="A963">
            <v>42590</v>
          </cell>
        </row>
        <row r="964">
          <cell r="A964">
            <v>42591</v>
          </cell>
        </row>
        <row r="965">
          <cell r="A965">
            <v>42592</v>
          </cell>
        </row>
        <row r="966">
          <cell r="A966">
            <v>42593</v>
          </cell>
        </row>
        <row r="967">
          <cell r="A967">
            <v>42594</v>
          </cell>
        </row>
        <row r="968">
          <cell r="A968">
            <v>42597</v>
          </cell>
        </row>
        <row r="969">
          <cell r="A969">
            <v>42598</v>
          </cell>
        </row>
        <row r="970">
          <cell r="A970">
            <v>42599</v>
          </cell>
        </row>
        <row r="971">
          <cell r="A971">
            <v>42600</v>
          </cell>
        </row>
        <row r="972">
          <cell r="A972">
            <v>42601</v>
          </cell>
        </row>
        <row r="973">
          <cell r="A973">
            <v>42604</v>
          </cell>
        </row>
        <row r="974">
          <cell r="A974">
            <v>42605</v>
          </cell>
        </row>
        <row r="975">
          <cell r="A975">
            <v>42606</v>
          </cell>
        </row>
        <row r="976">
          <cell r="A976">
            <v>42607</v>
          </cell>
        </row>
        <row r="977">
          <cell r="A977">
            <v>42608</v>
          </cell>
        </row>
        <row r="978">
          <cell r="A978">
            <v>42611</v>
          </cell>
        </row>
        <row r="979">
          <cell r="A979">
            <v>42612</v>
          </cell>
        </row>
        <row r="980">
          <cell r="A980">
            <v>42613</v>
          </cell>
        </row>
        <row r="981">
          <cell r="A981">
            <v>42614</v>
          </cell>
        </row>
        <row r="982">
          <cell r="A982">
            <v>42615</v>
          </cell>
        </row>
        <row r="983">
          <cell r="A983">
            <v>42618</v>
          </cell>
        </row>
        <row r="984">
          <cell r="A984">
            <v>42619</v>
          </cell>
        </row>
        <row r="985">
          <cell r="A985">
            <v>42620</v>
          </cell>
        </row>
        <row r="986">
          <cell r="A986">
            <v>42621</v>
          </cell>
        </row>
        <row r="987">
          <cell r="A987">
            <v>42622</v>
          </cell>
        </row>
        <row r="988">
          <cell r="A988">
            <v>42625</v>
          </cell>
        </row>
        <row r="989">
          <cell r="A989">
            <v>42626</v>
          </cell>
        </row>
        <row r="990">
          <cell r="A990">
            <v>42627</v>
          </cell>
        </row>
        <row r="991">
          <cell r="A991">
            <v>42628</v>
          </cell>
        </row>
        <row r="992">
          <cell r="A992">
            <v>42629</v>
          </cell>
        </row>
        <row r="993">
          <cell r="A993">
            <v>42632</v>
          </cell>
        </row>
        <row r="994">
          <cell r="A994">
            <v>42633</v>
          </cell>
        </row>
        <row r="995">
          <cell r="A995">
            <v>42634</v>
          </cell>
        </row>
        <row r="996">
          <cell r="A996">
            <v>42635</v>
          </cell>
        </row>
        <row r="997">
          <cell r="A997">
            <v>42636</v>
          </cell>
        </row>
        <row r="998">
          <cell r="A998">
            <v>42639</v>
          </cell>
        </row>
        <row r="999">
          <cell r="A999">
            <v>42640</v>
          </cell>
        </row>
        <row r="1000">
          <cell r="A1000">
            <v>42641</v>
          </cell>
        </row>
        <row r="1001">
          <cell r="A1001">
            <v>42642</v>
          </cell>
        </row>
        <row r="1002">
          <cell r="A1002">
            <v>42643</v>
          </cell>
        </row>
        <row r="1003">
          <cell r="A1003">
            <v>42646</v>
          </cell>
        </row>
        <row r="1004">
          <cell r="A1004">
            <v>42647</v>
          </cell>
        </row>
        <row r="1005">
          <cell r="A1005">
            <v>42648</v>
          </cell>
        </row>
        <row r="1006">
          <cell r="A1006">
            <v>42649</v>
          </cell>
        </row>
        <row r="1007">
          <cell r="A1007">
            <v>42650</v>
          </cell>
        </row>
        <row r="1008">
          <cell r="A1008">
            <v>42653</v>
          </cell>
        </row>
        <row r="1009">
          <cell r="A1009">
            <v>42654</v>
          </cell>
        </row>
        <row r="1010">
          <cell r="A1010">
            <v>42655</v>
          </cell>
        </row>
        <row r="1011">
          <cell r="A1011">
            <v>42656</v>
          </cell>
        </row>
        <row r="1012">
          <cell r="A1012">
            <v>42657</v>
          </cell>
        </row>
        <row r="1013">
          <cell r="A1013">
            <v>42660</v>
          </cell>
        </row>
        <row r="1014">
          <cell r="A1014">
            <v>42661</v>
          </cell>
        </row>
        <row r="1015">
          <cell r="A1015">
            <v>42662</v>
          </cell>
        </row>
        <row r="1016">
          <cell r="A1016">
            <v>42663</v>
          </cell>
        </row>
        <row r="1017">
          <cell r="A1017">
            <v>42664</v>
          </cell>
        </row>
        <row r="1018">
          <cell r="A1018">
            <v>42667</v>
          </cell>
        </row>
        <row r="1019">
          <cell r="A1019">
            <v>42668</v>
          </cell>
        </row>
        <row r="1020">
          <cell r="A1020">
            <v>42669</v>
          </cell>
        </row>
        <row r="1021">
          <cell r="A1021">
            <v>42670</v>
          </cell>
        </row>
        <row r="1022">
          <cell r="A1022">
            <v>42671</v>
          </cell>
        </row>
        <row r="1023">
          <cell r="A1023">
            <v>42674</v>
          </cell>
        </row>
        <row r="1024">
          <cell r="A1024">
            <v>42675</v>
          </cell>
        </row>
        <row r="1025">
          <cell r="A1025">
            <v>42676</v>
          </cell>
        </row>
        <row r="1026">
          <cell r="A1026">
            <v>42677</v>
          </cell>
        </row>
        <row r="1027">
          <cell r="A1027">
            <v>42678</v>
          </cell>
        </row>
        <row r="1028">
          <cell r="A1028">
            <v>42681</v>
          </cell>
        </row>
        <row r="1029">
          <cell r="A1029">
            <v>42682</v>
          </cell>
        </row>
        <row r="1030">
          <cell r="A1030">
            <v>42683</v>
          </cell>
        </row>
        <row r="1031">
          <cell r="A1031">
            <v>42684</v>
          </cell>
        </row>
        <row r="1032">
          <cell r="A1032">
            <v>42685</v>
          </cell>
        </row>
        <row r="1033">
          <cell r="A1033">
            <v>42688</v>
          </cell>
        </row>
        <row r="1034">
          <cell r="A1034">
            <v>42689</v>
          </cell>
        </row>
        <row r="1035">
          <cell r="A1035">
            <v>42690</v>
          </cell>
        </row>
        <row r="1036">
          <cell r="A1036">
            <v>42691</v>
          </cell>
        </row>
        <row r="1037">
          <cell r="A1037">
            <v>42692</v>
          </cell>
        </row>
        <row r="1038">
          <cell r="A1038">
            <v>42695</v>
          </cell>
        </row>
        <row r="1039">
          <cell r="A1039">
            <v>42696</v>
          </cell>
        </row>
        <row r="1040">
          <cell r="A1040">
            <v>42697</v>
          </cell>
        </row>
        <row r="1041">
          <cell r="A1041">
            <v>42698</v>
          </cell>
        </row>
        <row r="1042">
          <cell r="A1042">
            <v>42699</v>
          </cell>
        </row>
        <row r="1043">
          <cell r="A1043">
            <v>42702</v>
          </cell>
        </row>
        <row r="1044">
          <cell r="A1044">
            <v>42703</v>
          </cell>
        </row>
        <row r="1045">
          <cell r="A1045">
            <v>42704</v>
          </cell>
        </row>
        <row r="1046">
          <cell r="A1046">
            <v>42705</v>
          </cell>
        </row>
        <row r="1047">
          <cell r="A1047">
            <v>42706</v>
          </cell>
        </row>
        <row r="1048">
          <cell r="A1048">
            <v>42709</v>
          </cell>
        </row>
        <row r="1049">
          <cell r="A1049">
            <v>42710</v>
          </cell>
        </row>
        <row r="1050">
          <cell r="A1050">
            <v>42711</v>
          </cell>
        </row>
        <row r="1051">
          <cell r="A1051">
            <v>42712</v>
          </cell>
        </row>
        <row r="1052">
          <cell r="A1052">
            <v>42713</v>
          </cell>
        </row>
        <row r="1053">
          <cell r="A1053">
            <v>42716</v>
          </cell>
        </row>
        <row r="1054">
          <cell r="A1054">
            <v>42717</v>
          </cell>
        </row>
        <row r="1055">
          <cell r="A1055">
            <v>42718</v>
          </cell>
        </row>
        <row r="1056">
          <cell r="A1056">
            <v>42719</v>
          </cell>
        </row>
        <row r="1057">
          <cell r="A1057">
            <v>42720</v>
          </cell>
        </row>
        <row r="1058">
          <cell r="A1058">
            <v>42723</v>
          </cell>
        </row>
        <row r="1059">
          <cell r="A1059">
            <v>42724</v>
          </cell>
        </row>
        <row r="1060">
          <cell r="A1060">
            <v>42725</v>
          </cell>
        </row>
        <row r="1061">
          <cell r="A1061">
            <v>42726</v>
          </cell>
        </row>
        <row r="1062">
          <cell r="A1062">
            <v>42727</v>
          </cell>
        </row>
        <row r="1063">
          <cell r="A1063">
            <v>42730</v>
          </cell>
        </row>
        <row r="1064">
          <cell r="A1064">
            <v>42731</v>
          </cell>
        </row>
        <row r="1065">
          <cell r="A1065">
            <v>42732</v>
          </cell>
        </row>
        <row r="1066">
          <cell r="A1066">
            <v>42733</v>
          </cell>
        </row>
        <row r="1067">
          <cell r="A1067">
            <v>42734</v>
          </cell>
        </row>
        <row r="1068">
          <cell r="A1068">
            <v>42737</v>
          </cell>
        </row>
        <row r="1069">
          <cell r="A1069">
            <v>42738</v>
          </cell>
        </row>
        <row r="1070">
          <cell r="A1070">
            <v>42739</v>
          </cell>
        </row>
        <row r="1071">
          <cell r="A1071">
            <v>42740</v>
          </cell>
        </row>
        <row r="1072">
          <cell r="A1072">
            <v>42741</v>
          </cell>
        </row>
        <row r="1073">
          <cell r="A1073">
            <v>42744</v>
          </cell>
        </row>
        <row r="1074">
          <cell r="A1074">
            <v>42745</v>
          </cell>
        </row>
        <row r="1075">
          <cell r="A1075">
            <v>42746</v>
          </cell>
        </row>
        <row r="1076">
          <cell r="A1076">
            <v>42747</v>
          </cell>
        </row>
        <row r="1077">
          <cell r="A1077">
            <v>42748</v>
          </cell>
        </row>
        <row r="1078">
          <cell r="A1078">
            <v>42751</v>
          </cell>
        </row>
        <row r="1079">
          <cell r="A1079">
            <v>42752</v>
          </cell>
        </row>
        <row r="1080">
          <cell r="A1080">
            <v>42753</v>
          </cell>
        </row>
        <row r="1081">
          <cell r="A1081">
            <v>42754</v>
          </cell>
        </row>
        <row r="1082">
          <cell r="A1082">
            <v>42755</v>
          </cell>
        </row>
        <row r="1083">
          <cell r="A1083">
            <v>42758</v>
          </cell>
        </row>
        <row r="1084">
          <cell r="A1084">
            <v>42759</v>
          </cell>
        </row>
        <row r="1085">
          <cell r="A1085">
            <v>42760</v>
          </cell>
        </row>
        <row r="1086">
          <cell r="A1086">
            <v>42761</v>
          </cell>
        </row>
        <row r="1087">
          <cell r="A1087">
            <v>42762</v>
          </cell>
        </row>
        <row r="1088">
          <cell r="A1088">
            <v>42765</v>
          </cell>
        </row>
        <row r="1089">
          <cell r="A1089">
            <v>42766</v>
          </cell>
        </row>
        <row r="1090">
          <cell r="A1090">
            <v>42767</v>
          </cell>
        </row>
        <row r="1091">
          <cell r="A1091">
            <v>42768</v>
          </cell>
        </row>
        <row r="1092">
          <cell r="A1092">
            <v>42769</v>
          </cell>
        </row>
        <row r="1093">
          <cell r="A1093">
            <v>42772</v>
          </cell>
        </row>
        <row r="1094">
          <cell r="A1094">
            <v>42773</v>
          </cell>
        </row>
        <row r="1095">
          <cell r="A1095">
            <v>42774</v>
          </cell>
        </row>
        <row r="1096">
          <cell r="A1096">
            <v>42775</v>
          </cell>
        </row>
        <row r="1097">
          <cell r="A1097">
            <v>42776</v>
          </cell>
        </row>
        <row r="1098">
          <cell r="A1098">
            <v>42779</v>
          </cell>
        </row>
        <row r="1099">
          <cell r="A1099">
            <v>42780</v>
          </cell>
        </row>
        <row r="1100">
          <cell r="A1100">
            <v>42781</v>
          </cell>
        </row>
        <row r="1101">
          <cell r="A1101">
            <v>42782</v>
          </cell>
        </row>
        <row r="1102">
          <cell r="A1102">
            <v>42783</v>
          </cell>
        </row>
        <row r="1103">
          <cell r="A1103">
            <v>42786</v>
          </cell>
        </row>
        <row r="1104">
          <cell r="A1104">
            <v>42787</v>
          </cell>
        </row>
        <row r="1105">
          <cell r="A1105">
            <v>42788</v>
          </cell>
        </row>
        <row r="1106">
          <cell r="A1106">
            <v>42789</v>
          </cell>
        </row>
        <row r="1107">
          <cell r="A1107">
            <v>42790</v>
          </cell>
        </row>
        <row r="1108">
          <cell r="A1108">
            <v>42793</v>
          </cell>
        </row>
        <row r="1109">
          <cell r="A1109">
            <v>42794</v>
          </cell>
        </row>
        <row r="1110">
          <cell r="A1110">
            <v>42795</v>
          </cell>
        </row>
        <row r="1111">
          <cell r="A1111">
            <v>42796</v>
          </cell>
        </row>
        <row r="1112">
          <cell r="A1112">
            <v>42797</v>
          </cell>
        </row>
        <row r="1113">
          <cell r="A1113">
            <v>42800</v>
          </cell>
        </row>
        <row r="1114">
          <cell r="A1114">
            <v>42801</v>
          </cell>
        </row>
        <row r="1115">
          <cell r="A1115">
            <v>42802</v>
          </cell>
        </row>
        <row r="1116">
          <cell r="A1116">
            <v>42803</v>
          </cell>
        </row>
        <row r="1117">
          <cell r="A1117">
            <v>42804</v>
          </cell>
        </row>
        <row r="1118">
          <cell r="A1118">
            <v>42807</v>
          </cell>
        </row>
        <row r="1119">
          <cell r="A1119">
            <v>42808</v>
          </cell>
        </row>
        <row r="1120">
          <cell r="A1120">
            <v>42809</v>
          </cell>
        </row>
        <row r="1121">
          <cell r="A1121">
            <v>42810</v>
          </cell>
        </row>
        <row r="1122">
          <cell r="A1122">
            <v>42811</v>
          </cell>
        </row>
        <row r="1123">
          <cell r="A1123">
            <v>42814</v>
          </cell>
        </row>
        <row r="1124">
          <cell r="A1124">
            <v>42815</v>
          </cell>
        </row>
        <row r="1125">
          <cell r="A1125">
            <v>42816</v>
          </cell>
        </row>
        <row r="1126">
          <cell r="A1126">
            <v>42817</v>
          </cell>
        </row>
        <row r="1127">
          <cell r="A1127">
            <v>42818</v>
          </cell>
        </row>
        <row r="1128">
          <cell r="A1128">
            <v>42821</v>
          </cell>
        </row>
        <row r="1129">
          <cell r="A1129">
            <v>42822</v>
          </cell>
        </row>
        <row r="1130">
          <cell r="A1130">
            <v>42823</v>
          </cell>
        </row>
        <row r="1131">
          <cell r="A1131">
            <v>42824</v>
          </cell>
        </row>
        <row r="1132">
          <cell r="A1132">
            <v>42825</v>
          </cell>
        </row>
        <row r="1133">
          <cell r="A1133">
            <v>42828</v>
          </cell>
        </row>
        <row r="1134">
          <cell r="A1134">
            <v>42829</v>
          </cell>
        </row>
        <row r="1135">
          <cell r="A1135">
            <v>42830</v>
          </cell>
        </row>
        <row r="1136">
          <cell r="A1136">
            <v>42831</v>
          </cell>
        </row>
        <row r="1137">
          <cell r="A1137">
            <v>42832</v>
          </cell>
        </row>
        <row r="1138">
          <cell r="A1138">
            <v>42835</v>
          </cell>
        </row>
        <row r="1139">
          <cell r="A1139">
            <v>42836</v>
          </cell>
        </row>
        <row r="1140">
          <cell r="A1140">
            <v>42837</v>
          </cell>
        </row>
        <row r="1141">
          <cell r="A1141">
            <v>42838</v>
          </cell>
        </row>
        <row r="1142">
          <cell r="A1142">
            <v>42839</v>
          </cell>
        </row>
        <row r="1143">
          <cell r="A1143">
            <v>42842</v>
          </cell>
        </row>
        <row r="1144">
          <cell r="A1144">
            <v>42843</v>
          </cell>
        </row>
        <row r="1145">
          <cell r="A1145">
            <v>42844</v>
          </cell>
        </row>
        <row r="1146">
          <cell r="A1146">
            <v>42845</v>
          </cell>
        </row>
        <row r="1147">
          <cell r="A1147">
            <v>42846</v>
          </cell>
        </row>
        <row r="1148">
          <cell r="A1148">
            <v>42849</v>
          </cell>
        </row>
        <row r="1149">
          <cell r="A1149">
            <v>42850</v>
          </cell>
        </row>
        <row r="1150">
          <cell r="A1150">
            <v>42851</v>
          </cell>
        </row>
        <row r="1151">
          <cell r="A1151">
            <v>42852</v>
          </cell>
        </row>
        <row r="1152">
          <cell r="A1152">
            <v>42853</v>
          </cell>
        </row>
        <row r="1153">
          <cell r="A1153">
            <v>42856</v>
          </cell>
        </row>
        <row r="1154">
          <cell r="A1154">
            <v>42857</v>
          </cell>
        </row>
        <row r="1155">
          <cell r="A1155">
            <v>42858</v>
          </cell>
        </row>
        <row r="1156">
          <cell r="A1156">
            <v>42859</v>
          </cell>
        </row>
        <row r="1157">
          <cell r="A1157">
            <v>42860</v>
          </cell>
        </row>
        <row r="1158">
          <cell r="A1158">
            <v>42863</v>
          </cell>
        </row>
        <row r="1159">
          <cell r="A1159">
            <v>42864</v>
          </cell>
        </row>
        <row r="1160">
          <cell r="A1160">
            <v>42865</v>
          </cell>
        </row>
        <row r="1161">
          <cell r="A1161">
            <v>42866</v>
          </cell>
        </row>
        <row r="1162">
          <cell r="A1162">
            <v>42867</v>
          </cell>
        </row>
        <row r="1163">
          <cell r="A1163">
            <v>42870</v>
          </cell>
        </row>
        <row r="1164">
          <cell r="A1164">
            <v>42871</v>
          </cell>
        </row>
        <row r="1165">
          <cell r="A1165">
            <v>42872</v>
          </cell>
        </row>
        <row r="1166">
          <cell r="A1166">
            <v>42873</v>
          </cell>
        </row>
        <row r="1167">
          <cell r="A1167">
            <v>42874</v>
          </cell>
        </row>
        <row r="1168">
          <cell r="A1168">
            <v>42877</v>
          </cell>
        </row>
        <row r="1169">
          <cell r="A1169">
            <v>42878</v>
          </cell>
        </row>
        <row r="1170">
          <cell r="A1170">
            <v>42879</v>
          </cell>
        </row>
        <row r="1171">
          <cell r="A1171">
            <v>42880</v>
          </cell>
        </row>
        <row r="1172">
          <cell r="A1172">
            <v>42881</v>
          </cell>
        </row>
        <row r="1173">
          <cell r="A1173">
            <v>42884</v>
          </cell>
        </row>
        <row r="1174">
          <cell r="A1174">
            <v>42885</v>
          </cell>
        </row>
        <row r="1175">
          <cell r="A1175">
            <v>42886</v>
          </cell>
        </row>
        <row r="1176">
          <cell r="A1176">
            <v>42887</v>
          </cell>
        </row>
        <row r="1177">
          <cell r="A1177">
            <v>42888</v>
          </cell>
        </row>
        <row r="1178">
          <cell r="A1178">
            <v>42891</v>
          </cell>
        </row>
        <row r="1179">
          <cell r="A1179">
            <v>42892</v>
          </cell>
        </row>
        <row r="1180">
          <cell r="A1180">
            <v>42893</v>
          </cell>
        </row>
        <row r="1181">
          <cell r="A1181">
            <v>42894</v>
          </cell>
        </row>
        <row r="1182">
          <cell r="A1182">
            <v>42895</v>
          </cell>
        </row>
        <row r="1183">
          <cell r="A1183">
            <v>42898</v>
          </cell>
        </row>
        <row r="1184">
          <cell r="A1184">
            <v>42899</v>
          </cell>
        </row>
        <row r="1185">
          <cell r="A1185">
            <v>42900</v>
          </cell>
        </row>
        <row r="1186">
          <cell r="A1186">
            <v>42901</v>
          </cell>
        </row>
        <row r="1187">
          <cell r="A1187">
            <v>42902</v>
          </cell>
        </row>
        <row r="1188">
          <cell r="A1188">
            <v>42905</v>
          </cell>
        </row>
        <row r="1189">
          <cell r="A1189">
            <v>42906</v>
          </cell>
        </row>
        <row r="1190">
          <cell r="A1190">
            <v>42907</v>
          </cell>
        </row>
        <row r="1191">
          <cell r="A1191">
            <v>42908</v>
          </cell>
        </row>
        <row r="1192">
          <cell r="A1192">
            <v>42909</v>
          </cell>
        </row>
        <row r="1193">
          <cell r="A1193">
            <v>42912</v>
          </cell>
        </row>
        <row r="1194">
          <cell r="A1194">
            <v>42913</v>
          </cell>
        </row>
        <row r="1195">
          <cell r="A1195">
            <v>42914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B1" t="str">
            <v>Daily (z)</v>
          </cell>
          <cell r="D1" t="str">
            <v>eightus (m)</v>
          </cell>
          <cell r="F1" t="str">
            <v>threeUS (p)</v>
          </cell>
        </row>
        <row r="2">
          <cell r="J2" t="b">
            <v>1</v>
          </cell>
          <cell r="L2" t="b">
            <v>1</v>
          </cell>
          <cell r="N2" t="b">
            <v>1</v>
          </cell>
        </row>
        <row r="3">
          <cell r="J3" t="str">
            <v>C:\MONYCTR\DATA</v>
          </cell>
        </row>
        <row r="4">
          <cell r="J4" t="b">
            <v>1</v>
          </cell>
        </row>
        <row r="5">
          <cell r="J5" t="b">
            <v>1</v>
          </cell>
        </row>
        <row r="6">
          <cell r="J6" t="b">
            <v>1</v>
          </cell>
        </row>
        <row r="7">
          <cell r="J7" t="b">
            <v>1</v>
          </cell>
        </row>
        <row r="8">
          <cell r="J8" t="b">
            <v>0</v>
          </cell>
        </row>
        <row r="9">
          <cell r="J9" t="b">
            <v>1</v>
          </cell>
        </row>
        <row r="10">
          <cell r="J10" t="b">
            <v>1</v>
          </cell>
        </row>
        <row r="11">
          <cell r="J11" t="b">
            <v>1</v>
          </cell>
        </row>
        <row r="12">
          <cell r="J12" t="b">
            <v>1</v>
          </cell>
        </row>
        <row r="13">
          <cell r="J13" t="b">
            <v>1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M1509"/>
  <sheetViews>
    <sheetView tabSelected="1" zoomScale="85" zoomScaleNormal="85" zoomScalePageLayoutView="85" workbookViewId="0">
      <pane ySplit="12" topLeftCell="A13" activePane="bottomLeft" state="frozen"/>
      <selection pane="bottomLeft" activeCell="I12" sqref="I12"/>
    </sheetView>
  </sheetViews>
  <sheetFormatPr baseColWidth="10" defaultColWidth="8.83203125" defaultRowHeight="13" x14ac:dyDescent="0.15"/>
  <cols>
    <col min="1" max="1" width="18.6640625" style="1" bestFit="1" customWidth="1"/>
    <col min="2" max="2" width="14" style="1" bestFit="1" customWidth="1"/>
    <col min="3" max="3" width="13.6640625" style="1" bestFit="1" customWidth="1"/>
    <col min="4" max="4" width="12.1640625" style="1" customWidth="1"/>
    <col min="5" max="5" width="18.1640625" style="1" customWidth="1"/>
    <col min="6" max="6" width="17" style="1" customWidth="1"/>
    <col min="7" max="7" width="8" style="1" customWidth="1"/>
    <col min="8" max="8" width="15.83203125" style="1" bestFit="1" customWidth="1"/>
    <col min="9" max="9" width="8.83203125" style="1" bestFit="1" customWidth="1"/>
    <col min="10" max="10" width="15.83203125" style="1" bestFit="1" customWidth="1"/>
    <col min="11" max="11" width="21.6640625" style="1" bestFit="1" customWidth="1"/>
    <col min="12" max="16384" width="8.83203125" style="1"/>
  </cols>
  <sheetData>
    <row r="1" spans="1:13" x14ac:dyDescent="0.15">
      <c r="C1" s="2" t="s">
        <v>0</v>
      </c>
      <c r="D1" s="3" t="s">
        <v>1</v>
      </c>
      <c r="E1" s="3" t="s">
        <v>2</v>
      </c>
      <c r="F1" s="3" t="s">
        <v>3</v>
      </c>
      <c r="G1" s="3" t="s">
        <v>4</v>
      </c>
      <c r="K1" s="1" t="s">
        <v>5</v>
      </c>
      <c r="L1" s="4">
        <f ca="1">TODAY()</f>
        <v>43475</v>
      </c>
    </row>
    <row r="2" spans="1:13" x14ac:dyDescent="0.15">
      <c r="B2" s="5" t="s">
        <v>6</v>
      </c>
      <c r="D2" s="47" t="e">
        <f ca="1">_xll.BDP(B2, "last price")</f>
        <v>#NAME?</v>
      </c>
      <c r="K2" s="7" t="s">
        <v>7</v>
      </c>
      <c r="L2" s="1" t="e">
        <f ca="1">_xll.BDP(C5 &amp; " index", "FUT_ROLL_DT")</f>
        <v>#NAME?</v>
      </c>
    </row>
    <row r="3" spans="1:13" x14ac:dyDescent="0.15">
      <c r="B3" s="5" t="s">
        <v>8</v>
      </c>
      <c r="D3" s="6" t="e">
        <f ca="1">_xll.BDP(B3, "last price")</f>
        <v>#NAME?</v>
      </c>
      <c r="K3" s="1" t="s">
        <v>9</v>
      </c>
      <c r="L3" s="1" t="e">
        <f ca="1">_xll.BDP(C5 &amp; " index", "FUT_DLV_DT_FIRST")</f>
        <v>#NAME?</v>
      </c>
    </row>
    <row r="4" spans="1:13" x14ac:dyDescent="0.15">
      <c r="A4" s="7" t="s">
        <v>10</v>
      </c>
      <c r="B4" s="5" t="s">
        <v>11</v>
      </c>
      <c r="D4" s="6" t="e">
        <f ca="1">_xll.BDP(B4, "last price")</f>
        <v>#NAME?</v>
      </c>
      <c r="I4" s="3" t="s">
        <v>12</v>
      </c>
      <c r="J4" s="3" t="s">
        <v>13</v>
      </c>
      <c r="L4" s="1" t="e">
        <f ca="1">_xll.BDP(C6 &amp; " index", "FUT_DLV_DT_FIRST")</f>
        <v>#NAME?</v>
      </c>
    </row>
    <row r="5" spans="1:13" ht="16" x14ac:dyDescent="0.2">
      <c r="B5" s="5" t="s">
        <v>14</v>
      </c>
      <c r="C5" s="46" t="str">
        <f>C8</f>
        <v>esh9</v>
      </c>
      <c r="D5" s="6" t="e">
        <f ca="1">_xll.BDP(B5, "last price")</f>
        <v>#NAME?</v>
      </c>
      <c r="E5" s="46" t="e">
        <f ca="1">_xll.BDP(C5 &amp; " index", "VOLUME")</f>
        <v>#NAME?</v>
      </c>
      <c r="F5" s="8" t="e">
        <f ca="1">_xll.BDP(B5,"PR016")</f>
        <v>#NAME?</v>
      </c>
      <c r="G5" s="9" t="e">
        <f ca="1">_xll.BDP(C5 &amp; " index","FUT_CONTRACT_DT")</f>
        <v>#NAME?</v>
      </c>
      <c r="H5" s="7" t="s">
        <v>15</v>
      </c>
      <c r="I5" s="1" t="e">
        <f ca="1">MAX(E13:E416)</f>
        <v>#NAME?</v>
      </c>
      <c r="J5" s="1" t="e">
        <f ca="1">MIN(E13:E416)</f>
        <v>#NAME?</v>
      </c>
    </row>
    <row r="6" spans="1:13" ht="16" x14ac:dyDescent="0.2">
      <c r="B6" s="5" t="s">
        <v>16</v>
      </c>
      <c r="C6" s="46" t="s">
        <v>30</v>
      </c>
      <c r="D6" s="6" t="e">
        <f ca="1">_xll.BDP(B6, "last price")</f>
        <v>#NAME?</v>
      </c>
      <c r="E6" s="1" t="e">
        <f ca="1">_xll.BDP(C6 &amp; " index", "VOLUME")</f>
        <v>#NAME?</v>
      </c>
      <c r="F6" s="8" t="e">
        <f ca="1">_xll.BDP(B6,"PR016")</f>
        <v>#NAME?</v>
      </c>
      <c r="G6" s="9" t="e">
        <f ca="1">_xll.BDP(C6 &amp; " index","FUT_CONTRACT_DT")</f>
        <v>#NAME?</v>
      </c>
      <c r="H6" s="7" t="s">
        <v>17</v>
      </c>
      <c r="I6" s="10" t="e">
        <f ca="1">MAX(D13:D416)</f>
        <v>#NAME?</v>
      </c>
      <c r="J6" s="10" t="e">
        <f ca="1">MIN(D13:D416)</f>
        <v>#NAME?</v>
      </c>
    </row>
    <row r="7" spans="1:13" ht="17" thickBot="1" x14ac:dyDescent="0.25">
      <c r="A7" s="11" t="s">
        <v>18</v>
      </c>
      <c r="C7" s="45"/>
      <c r="E7" s="1" t="s">
        <v>19</v>
      </c>
      <c r="F7" s="12">
        <v>0.39652777777777781</v>
      </c>
    </row>
    <row r="8" spans="1:13" x14ac:dyDescent="0.15">
      <c r="A8" s="13" t="s">
        <v>20</v>
      </c>
      <c r="C8" s="48" t="s">
        <v>31</v>
      </c>
      <c r="E8" s="14" t="s">
        <v>21</v>
      </c>
      <c r="F8" s="15">
        <v>0.67708333333333337</v>
      </c>
      <c r="H8" s="16" t="s">
        <v>22</v>
      </c>
      <c r="I8" s="49" t="s">
        <v>23</v>
      </c>
      <c r="J8" s="50"/>
    </row>
    <row r="9" spans="1:13" ht="14" thickBot="1" x14ac:dyDescent="0.2">
      <c r="A9" s="17" t="s">
        <v>24</v>
      </c>
      <c r="B9" s="18"/>
      <c r="C9" s="18"/>
      <c r="D9" s="18"/>
      <c r="E9" s="19" t="s">
        <v>25</v>
      </c>
      <c r="F9" s="20">
        <f ca="1">NOW()</f>
        <v>43475.630036574075</v>
      </c>
      <c r="G9" s="18"/>
      <c r="H9" s="21" t="str">
        <f ca="1">TEXT(L1,"MM/DD/YYYY")&amp;" "&amp;TEXT(F7,"HH:MM:SS")</f>
        <v>01/10/2019 09:31:00</v>
      </c>
      <c r="I9" s="22">
        <v>42187</v>
      </c>
      <c r="J9" s="23" t="s">
        <v>20</v>
      </c>
    </row>
    <row r="10" spans="1:13" x14ac:dyDescent="0.15">
      <c r="A10" s="18"/>
      <c r="B10" s="24"/>
      <c r="C10" s="18"/>
      <c r="D10" s="18"/>
      <c r="E10" s="25" t="s">
        <v>26</v>
      </c>
      <c r="F10" s="26" t="e">
        <f ca="1">D4</f>
        <v>#NAME?</v>
      </c>
      <c r="G10" s="18"/>
      <c r="H10" s="21" t="str">
        <f ca="1">TEXT(L1,"MM/DD/YYYY")&amp;" "&amp;TEXT(F8,"HH:MM:SS")</f>
        <v>01/10/2019 16:15:00</v>
      </c>
      <c r="I10" s="27">
        <v>0.39652777777777781</v>
      </c>
      <c r="J10" s="23" t="s">
        <v>19</v>
      </c>
      <c r="K10" s="18"/>
      <c r="L10" s="18"/>
    </row>
    <row r="11" spans="1:13" x14ac:dyDescent="0.15">
      <c r="A11" s="18"/>
      <c r="B11" s="24"/>
      <c r="C11" s="18"/>
      <c r="D11" s="18"/>
      <c r="E11" s="18"/>
      <c r="F11" s="28"/>
      <c r="G11" s="18"/>
      <c r="H11" s="21" t="str">
        <f>TEXT(I9,"MM/DD/YYYY")&amp;" "&amp;TEXT(I10,"HH:MM:SS")</f>
        <v>07/02/2015 09:31:00</v>
      </c>
      <c r="I11" s="27">
        <v>0.67708333333333337</v>
      </c>
      <c r="J11" s="23" t="s">
        <v>21</v>
      </c>
      <c r="K11" s="18"/>
      <c r="L11" s="18"/>
    </row>
    <row r="12" spans="1:13" ht="14" thickBot="1" x14ac:dyDescent="0.2">
      <c r="A12" s="29"/>
      <c r="B12" s="30" t="s">
        <v>8</v>
      </c>
      <c r="C12" s="44" t="str">
        <f>C8</f>
        <v>esh9</v>
      </c>
      <c r="D12" s="31" t="s">
        <v>27</v>
      </c>
      <c r="E12" s="32" t="s">
        <v>15</v>
      </c>
      <c r="F12" s="33"/>
      <c r="G12" s="33"/>
      <c r="H12" s="34" t="str">
        <f>TEXT(I9,"MM/DD/YYYY")&amp;" "&amp;TEXT(I11,"HH:MM:SS")</f>
        <v>07/02/2015 16:15:00</v>
      </c>
      <c r="I12" s="35" t="s">
        <v>29</v>
      </c>
      <c r="J12" s="23" t="s">
        <v>28</v>
      </c>
    </row>
    <row r="13" spans="1:13" ht="16" x14ac:dyDescent="0.2">
      <c r="A13" s="36" t="e">
        <f ca="1">IF(I12="Default",_xll.BRB(B12,$A$9,H9,H10,$A$7,"BarSz=1","cols=2;rows=404"),_xll.BRB(B12,$A$9,H11,H12,$A$7,"BarSz=1"))</f>
        <v>#NAME?</v>
      </c>
      <c r="B13" s="1">
        <v>2466.06</v>
      </c>
      <c r="C13" s="37" t="e">
        <f ca="1">IF(I12="Default",_xll.BRB($C$12,$A$9,H9,H10,$A$7,"BarSz=1","dts=h","days=a","fill=p","cols=1;rows=404"),_xll.BRB($C$12,$A$9:$A$9,H11,H12,$A$7,"BarSz=1","dts=h","days=a","fill=p"))</f>
        <v>#NAME?</v>
      </c>
      <c r="D13" s="38" t="e">
        <f ca="1">IF(OR(C13="",B13=""),"",C13-B13)</f>
        <v>#NAME?</v>
      </c>
      <c r="E13" s="39" t="e">
        <f ca="1">IF(I12="Default",_xll.BRB($B$4,$A$9:$A$9,H9,H10,$A$7,"BarSz=1","dts=h","days=a","fill=p","cols=1;rows=404"),_xll.BRB($B$4,$A$9:$A$9,H11,H12,$A$7,"BarSz=1","dts=h"))</f>
        <v>#NAME?</v>
      </c>
    </row>
    <row r="14" spans="1:13" ht="16" x14ac:dyDescent="0.2">
      <c r="A14" s="40">
        <v>42984.397222222222</v>
      </c>
      <c r="B14" s="1">
        <v>2466.42</v>
      </c>
      <c r="C14" s="41">
        <v>2465.5</v>
      </c>
      <c r="D14" s="38">
        <f t="shared" ref="D14:D76" si="0">IF(OR(C14="",B14=""),"",C14-B14)</f>
        <v>-0.92000000000007276</v>
      </c>
      <c r="E14" s="39">
        <v>-0.98</v>
      </c>
      <c r="J14" s="7"/>
      <c r="K14" s="7"/>
      <c r="L14" s="7"/>
      <c r="M14" s="7"/>
    </row>
    <row r="15" spans="1:13" ht="16" x14ac:dyDescent="0.2">
      <c r="A15" s="40">
        <v>42984.397916666669</v>
      </c>
      <c r="B15" s="1">
        <v>2465.4899999999998</v>
      </c>
      <c r="C15" s="41">
        <v>2464.6999999999998</v>
      </c>
      <c r="D15" s="38">
        <f t="shared" si="0"/>
        <v>-0.78999999999996362</v>
      </c>
      <c r="E15" s="39">
        <v>-0.77</v>
      </c>
      <c r="G15" s="42"/>
      <c r="H15" s="42"/>
      <c r="I15" s="42"/>
      <c r="M15" s="6"/>
    </row>
    <row r="16" spans="1:13" ht="16" x14ac:dyDescent="0.2">
      <c r="A16" s="40">
        <v>42984.398611111108</v>
      </c>
      <c r="B16" s="1">
        <v>2463.61</v>
      </c>
      <c r="C16" s="41">
        <v>2462.8000000000002</v>
      </c>
      <c r="D16" s="38">
        <f t="shared" si="0"/>
        <v>-0.80999999999994543</v>
      </c>
      <c r="E16" s="39">
        <v>-0.41</v>
      </c>
    </row>
    <row r="17" spans="1:5" ht="16" x14ac:dyDescent="0.2">
      <c r="A17" s="40">
        <v>42984.399305555555</v>
      </c>
      <c r="B17" s="1">
        <v>2463.94</v>
      </c>
      <c r="C17" s="41">
        <v>2463</v>
      </c>
      <c r="D17" s="38">
        <f t="shared" si="0"/>
        <v>-0.94000000000005457</v>
      </c>
      <c r="E17" s="39">
        <v>-1.1399999999999999</v>
      </c>
    </row>
    <row r="18" spans="1:5" ht="16" x14ac:dyDescent="0.2">
      <c r="A18" s="40">
        <v>42984.4</v>
      </c>
      <c r="B18" s="1">
        <v>2464.14</v>
      </c>
      <c r="C18" s="41">
        <v>2463</v>
      </c>
      <c r="D18" s="38">
        <f t="shared" si="0"/>
        <v>-1.1399999999998727</v>
      </c>
      <c r="E18" s="39">
        <v>-1.1399999999999999</v>
      </c>
    </row>
    <row r="19" spans="1:5" ht="16" x14ac:dyDescent="0.2">
      <c r="A19" s="40">
        <v>42984.400694444441</v>
      </c>
      <c r="B19" s="1">
        <v>2463.56</v>
      </c>
      <c r="C19" s="41">
        <v>2462</v>
      </c>
      <c r="D19" s="38">
        <f t="shared" si="0"/>
        <v>-1.5599999999999454</v>
      </c>
      <c r="E19" s="39">
        <v>-0.56000000000000005</v>
      </c>
    </row>
    <row r="20" spans="1:5" ht="16" x14ac:dyDescent="0.2">
      <c r="A20" s="40">
        <v>42984.401388888888</v>
      </c>
      <c r="B20" s="1">
        <v>2463.7399999999998</v>
      </c>
      <c r="C20" s="41">
        <v>2462.6999999999998</v>
      </c>
      <c r="D20" s="38">
        <f t="shared" si="0"/>
        <v>-1.0399999999999636</v>
      </c>
      <c r="E20" s="39">
        <v>-1.24</v>
      </c>
    </row>
    <row r="21" spans="1:5" ht="16" x14ac:dyDescent="0.2">
      <c r="A21" s="40">
        <v>42984.402083333334</v>
      </c>
      <c r="B21" s="1">
        <v>2464.0500000000002</v>
      </c>
      <c r="C21" s="41">
        <v>2463.1999999999998</v>
      </c>
      <c r="D21" s="38">
        <f t="shared" si="0"/>
        <v>-0.8500000000003638</v>
      </c>
      <c r="E21" s="39">
        <v>-1.04</v>
      </c>
    </row>
    <row r="22" spans="1:5" ht="16" x14ac:dyDescent="0.2">
      <c r="A22" s="40">
        <v>42984.402777777781</v>
      </c>
      <c r="B22" s="1">
        <v>2463.5700000000002</v>
      </c>
      <c r="C22" s="41">
        <v>2463</v>
      </c>
      <c r="D22" s="38">
        <f t="shared" si="0"/>
        <v>-0.57000000000016371</v>
      </c>
      <c r="E22" s="39">
        <v>-0.68</v>
      </c>
    </row>
    <row r="23" spans="1:5" ht="16" x14ac:dyDescent="0.2">
      <c r="A23" s="40">
        <v>42984.40347222222</v>
      </c>
      <c r="B23" s="1">
        <v>2464.0700000000002</v>
      </c>
      <c r="C23" s="41">
        <v>2463</v>
      </c>
      <c r="D23" s="38">
        <f t="shared" si="0"/>
        <v>-1.0700000000001637</v>
      </c>
      <c r="E23" s="39">
        <v>-1.19</v>
      </c>
    </row>
    <row r="24" spans="1:5" ht="16" x14ac:dyDescent="0.2">
      <c r="A24" s="40">
        <v>42984.404166666667</v>
      </c>
      <c r="B24" s="1">
        <v>2464.1999999999998</v>
      </c>
      <c r="C24" s="41">
        <v>2463.1999999999998</v>
      </c>
      <c r="D24" s="38">
        <f t="shared" si="0"/>
        <v>-1</v>
      </c>
      <c r="E24" s="39">
        <v>-1.02</v>
      </c>
    </row>
    <row r="25" spans="1:5" ht="16" x14ac:dyDescent="0.2">
      <c r="A25" s="40">
        <v>42984.404861111114</v>
      </c>
      <c r="B25" s="1">
        <v>2464.42</v>
      </c>
      <c r="C25" s="41">
        <v>2463.6999999999998</v>
      </c>
      <c r="D25" s="38">
        <f t="shared" si="0"/>
        <v>-0.72000000000025466</v>
      </c>
      <c r="E25" s="39">
        <v>-0.61</v>
      </c>
    </row>
    <row r="26" spans="1:5" ht="16" x14ac:dyDescent="0.2">
      <c r="A26" s="40">
        <v>42984.405555555553</v>
      </c>
      <c r="B26" s="1">
        <v>2464.1799999999998</v>
      </c>
      <c r="C26" s="41">
        <v>2463.1999999999998</v>
      </c>
      <c r="D26" s="38">
        <f t="shared" si="0"/>
        <v>-0.98000000000001819</v>
      </c>
      <c r="E26" s="39">
        <v>-1.18</v>
      </c>
    </row>
    <row r="27" spans="1:5" ht="16" x14ac:dyDescent="0.2">
      <c r="A27" s="40">
        <v>42984.40625</v>
      </c>
      <c r="B27" s="1">
        <v>2464.73</v>
      </c>
      <c r="C27" s="41">
        <v>2464</v>
      </c>
      <c r="D27" s="38">
        <f t="shared" si="0"/>
        <v>-0.73000000000001819</v>
      </c>
      <c r="E27" s="39">
        <v>-1.71</v>
      </c>
    </row>
    <row r="28" spans="1:5" ht="16" x14ac:dyDescent="0.2">
      <c r="A28" s="40">
        <v>42984.406944444447</v>
      </c>
      <c r="B28" s="1">
        <v>2464.61</v>
      </c>
      <c r="C28" s="41">
        <v>2464.3000000000002</v>
      </c>
      <c r="D28" s="38">
        <f t="shared" si="0"/>
        <v>-0.30999999999994543</v>
      </c>
      <c r="E28" s="39">
        <v>-0.76</v>
      </c>
    </row>
    <row r="29" spans="1:5" ht="16" x14ac:dyDescent="0.2">
      <c r="A29" s="40">
        <v>42984.407638888886</v>
      </c>
      <c r="B29" s="1">
        <v>2464.2399999999998</v>
      </c>
      <c r="C29" s="41">
        <v>2463.5</v>
      </c>
      <c r="D29" s="38">
        <f t="shared" si="0"/>
        <v>-0.73999999999978172</v>
      </c>
      <c r="E29" s="39">
        <v>-0.61</v>
      </c>
    </row>
    <row r="30" spans="1:5" ht="16" x14ac:dyDescent="0.2">
      <c r="A30" s="40">
        <v>42984.408333333333</v>
      </c>
      <c r="B30" s="1">
        <v>2465.0100000000002</v>
      </c>
      <c r="C30" s="41">
        <v>2464.1999999999998</v>
      </c>
      <c r="D30" s="38">
        <f t="shared" si="0"/>
        <v>-0.81000000000040018</v>
      </c>
      <c r="E30" s="39">
        <v>-0.75</v>
      </c>
    </row>
    <row r="31" spans="1:5" ht="16" x14ac:dyDescent="0.2">
      <c r="A31" s="40">
        <v>42984.40902777778</v>
      </c>
      <c r="B31" s="1">
        <v>2464.35</v>
      </c>
      <c r="C31" s="41">
        <v>2464</v>
      </c>
      <c r="D31" s="38">
        <f t="shared" si="0"/>
        <v>-0.34999999999990905</v>
      </c>
      <c r="E31" s="39">
        <v>-0.41</v>
      </c>
    </row>
    <row r="32" spans="1:5" ht="16" x14ac:dyDescent="0.2">
      <c r="A32" s="40">
        <v>42984.409722222219</v>
      </c>
      <c r="B32" s="1">
        <v>2463.5700000000002</v>
      </c>
      <c r="C32" s="41">
        <v>2462.5</v>
      </c>
      <c r="D32" s="38">
        <f t="shared" si="0"/>
        <v>-1.0700000000001637</v>
      </c>
      <c r="E32" s="39">
        <v>-0.75</v>
      </c>
    </row>
    <row r="33" spans="1:5" ht="16" x14ac:dyDescent="0.2">
      <c r="A33" s="40">
        <v>42984.410416666666</v>
      </c>
      <c r="B33" s="1">
        <v>2464.3200000000002</v>
      </c>
      <c r="C33" s="41">
        <v>2463.5</v>
      </c>
      <c r="D33" s="38">
        <f t="shared" si="0"/>
        <v>-0.82000000000016371</v>
      </c>
      <c r="E33" s="39">
        <v>-0.74</v>
      </c>
    </row>
    <row r="34" spans="1:5" ht="16" x14ac:dyDescent="0.2">
      <c r="A34" s="40">
        <v>42984.411111111112</v>
      </c>
      <c r="B34" s="1">
        <v>2463.88</v>
      </c>
      <c r="C34" s="41">
        <v>2463</v>
      </c>
      <c r="D34" s="38">
        <f t="shared" si="0"/>
        <v>-0.88000000000010914</v>
      </c>
      <c r="E34" s="39">
        <v>-1</v>
      </c>
    </row>
    <row r="35" spans="1:5" ht="16" x14ac:dyDescent="0.2">
      <c r="A35" s="40">
        <v>42984.411805555559</v>
      </c>
      <c r="B35" s="1">
        <v>2462.98</v>
      </c>
      <c r="C35" s="41">
        <v>2462.3000000000002</v>
      </c>
      <c r="D35" s="38">
        <f t="shared" si="0"/>
        <v>-0.67999999999983629</v>
      </c>
      <c r="E35" s="39">
        <v>-0.82</v>
      </c>
    </row>
    <row r="36" spans="1:5" ht="16" x14ac:dyDescent="0.2">
      <c r="A36" s="40">
        <v>42984.412499999999</v>
      </c>
      <c r="B36" s="1">
        <v>2463.66</v>
      </c>
      <c r="C36" s="41">
        <v>2463</v>
      </c>
      <c r="D36" s="38">
        <f t="shared" si="0"/>
        <v>-0.65999999999985448</v>
      </c>
      <c r="E36" s="39">
        <v>-0.67</v>
      </c>
    </row>
    <row r="37" spans="1:5" ht="16" x14ac:dyDescent="0.2">
      <c r="A37" s="40">
        <v>42984.413194444445</v>
      </c>
      <c r="B37" s="1">
        <v>2463.35</v>
      </c>
      <c r="C37" s="41">
        <v>2463</v>
      </c>
      <c r="D37" s="38">
        <f t="shared" si="0"/>
        <v>-0.34999999999990905</v>
      </c>
      <c r="E37" s="39">
        <v>-0.52</v>
      </c>
    </row>
    <row r="38" spans="1:5" ht="16" x14ac:dyDescent="0.2">
      <c r="A38" s="40">
        <v>42984.413888888892</v>
      </c>
      <c r="B38" s="1">
        <v>2463.37</v>
      </c>
      <c r="C38" s="41">
        <v>2462.5</v>
      </c>
      <c r="D38" s="38">
        <f t="shared" si="0"/>
        <v>-0.86999999999989086</v>
      </c>
      <c r="E38" s="39">
        <v>-0.99</v>
      </c>
    </row>
    <row r="39" spans="1:5" ht="16" x14ac:dyDescent="0.2">
      <c r="A39" s="40">
        <v>42984.414583333331</v>
      </c>
      <c r="B39" s="1">
        <v>2464.06</v>
      </c>
      <c r="C39" s="41">
        <v>2463</v>
      </c>
      <c r="D39" s="38">
        <f t="shared" si="0"/>
        <v>-1.0599999999999454</v>
      </c>
      <c r="E39" s="39">
        <v>-1.02</v>
      </c>
    </row>
    <row r="40" spans="1:5" ht="16" x14ac:dyDescent="0.2">
      <c r="A40" s="40">
        <v>42984.415277777778</v>
      </c>
      <c r="B40" s="1">
        <v>2464.59</v>
      </c>
      <c r="C40" s="41">
        <v>2463.1999999999998</v>
      </c>
      <c r="D40" s="38">
        <f t="shared" si="0"/>
        <v>-1.3900000000003274</v>
      </c>
      <c r="E40" s="39">
        <v>-0.94</v>
      </c>
    </row>
    <row r="41" spans="1:5" ht="16" x14ac:dyDescent="0.2">
      <c r="A41" s="40">
        <v>42984.415972222225</v>
      </c>
      <c r="B41" s="1">
        <v>2464.5300000000002</v>
      </c>
      <c r="C41" s="41">
        <v>2463.6999999999998</v>
      </c>
      <c r="D41" s="38">
        <f t="shared" si="0"/>
        <v>-0.83000000000038199</v>
      </c>
      <c r="E41" s="39">
        <v>-0.92</v>
      </c>
    </row>
    <row r="42" spans="1:5" ht="16" x14ac:dyDescent="0.2">
      <c r="A42" s="40">
        <v>42984.416666666664</v>
      </c>
      <c r="B42" s="1">
        <v>2465.63</v>
      </c>
      <c r="C42" s="41">
        <v>2464</v>
      </c>
      <c r="D42" s="38">
        <f t="shared" si="0"/>
        <v>-1.6300000000001091</v>
      </c>
      <c r="E42" s="39">
        <v>-1.91</v>
      </c>
    </row>
    <row r="43" spans="1:5" ht="16" x14ac:dyDescent="0.2">
      <c r="A43" s="40">
        <v>42984.417361111111</v>
      </c>
      <c r="B43" s="1">
        <v>2465.37</v>
      </c>
      <c r="C43" s="41">
        <v>2464.5</v>
      </c>
      <c r="D43" s="38">
        <f t="shared" si="0"/>
        <v>-0.86999999999989086</v>
      </c>
      <c r="E43" s="39">
        <v>-0.56999999999999995</v>
      </c>
    </row>
    <row r="44" spans="1:5" ht="16" x14ac:dyDescent="0.2">
      <c r="A44" s="40">
        <v>42984.418055555558</v>
      </c>
      <c r="B44" s="1">
        <v>2465.7800000000002</v>
      </c>
      <c r="C44" s="41">
        <v>2464.5</v>
      </c>
      <c r="D44" s="38">
        <f t="shared" si="0"/>
        <v>-1.2800000000002001</v>
      </c>
      <c r="E44" s="39">
        <v>-0.95</v>
      </c>
    </row>
    <row r="45" spans="1:5" ht="16" x14ac:dyDescent="0.2">
      <c r="A45" s="40">
        <v>42984.418749999997</v>
      </c>
      <c r="B45" s="1">
        <v>2465.6999999999998</v>
      </c>
      <c r="C45" s="41">
        <v>2464.5</v>
      </c>
      <c r="D45" s="38">
        <f t="shared" si="0"/>
        <v>-1.1999999999998181</v>
      </c>
      <c r="E45" s="39">
        <v>-0.99</v>
      </c>
    </row>
    <row r="46" spans="1:5" ht="16" x14ac:dyDescent="0.2">
      <c r="A46" s="40">
        <v>42984.419444444444</v>
      </c>
      <c r="B46" s="1">
        <v>2465.5100000000002</v>
      </c>
      <c r="C46" s="41">
        <v>2464.5</v>
      </c>
      <c r="D46" s="38">
        <f t="shared" si="0"/>
        <v>-1.0100000000002183</v>
      </c>
      <c r="E46" s="39">
        <v>-0.91</v>
      </c>
    </row>
    <row r="47" spans="1:5" ht="16" x14ac:dyDescent="0.2">
      <c r="A47" s="40">
        <v>42984.420138888891</v>
      </c>
      <c r="B47" s="1">
        <v>2465.9299999999998</v>
      </c>
      <c r="C47" s="41">
        <v>2464.5</v>
      </c>
      <c r="D47" s="38">
        <f t="shared" si="0"/>
        <v>-1.4299999999998363</v>
      </c>
      <c r="E47" s="39">
        <v>-1.24</v>
      </c>
    </row>
    <row r="48" spans="1:5" ht="16" x14ac:dyDescent="0.2">
      <c r="A48" s="40">
        <v>42984.42083333333</v>
      </c>
      <c r="B48" s="1">
        <v>2467.09</v>
      </c>
      <c r="C48" s="41">
        <v>2466.5</v>
      </c>
      <c r="D48" s="38">
        <f t="shared" si="0"/>
        <v>-0.59000000000014552</v>
      </c>
      <c r="E48" s="39">
        <v>-0.6</v>
      </c>
    </row>
    <row r="49" spans="1:5" ht="16" x14ac:dyDescent="0.2">
      <c r="A49" s="40">
        <v>42984.421527777777</v>
      </c>
      <c r="B49" s="1">
        <v>2467.0100000000002</v>
      </c>
      <c r="C49" s="41">
        <v>2466.5</v>
      </c>
      <c r="D49" s="38">
        <f t="shared" si="0"/>
        <v>-0.51000000000021828</v>
      </c>
      <c r="E49" s="39">
        <v>-0.71</v>
      </c>
    </row>
    <row r="50" spans="1:5" ht="16" x14ac:dyDescent="0.2">
      <c r="A50" s="40">
        <v>42984.422222222223</v>
      </c>
      <c r="B50" s="1">
        <v>2466.31</v>
      </c>
      <c r="C50" s="41">
        <v>2466.5</v>
      </c>
      <c r="D50" s="38">
        <f t="shared" si="0"/>
        <v>0.19000000000005457</v>
      </c>
      <c r="E50" s="39">
        <v>0.23</v>
      </c>
    </row>
    <row r="51" spans="1:5" ht="16" x14ac:dyDescent="0.2">
      <c r="A51" s="40">
        <v>42984.42291666667</v>
      </c>
      <c r="B51" s="1">
        <v>2465.88</v>
      </c>
      <c r="C51" s="41">
        <v>2465</v>
      </c>
      <c r="D51" s="38">
        <f t="shared" si="0"/>
        <v>-0.88000000000010914</v>
      </c>
      <c r="E51" s="39">
        <v>0.48</v>
      </c>
    </row>
    <row r="52" spans="1:5" ht="16" x14ac:dyDescent="0.2">
      <c r="A52" s="40">
        <v>42984.423611111109</v>
      </c>
      <c r="B52" s="1">
        <v>2466.16</v>
      </c>
      <c r="C52" s="41">
        <v>2465</v>
      </c>
      <c r="D52" s="38">
        <f t="shared" si="0"/>
        <v>-1.1599999999998545</v>
      </c>
      <c r="E52" s="39">
        <v>-1.06</v>
      </c>
    </row>
    <row r="53" spans="1:5" ht="16" x14ac:dyDescent="0.2">
      <c r="A53" s="40">
        <v>42984.424305555556</v>
      </c>
      <c r="B53" s="1">
        <v>2466.4699999999998</v>
      </c>
      <c r="C53" s="41">
        <v>2465.5</v>
      </c>
      <c r="D53" s="38">
        <f t="shared" si="0"/>
        <v>-0.96999999999979991</v>
      </c>
      <c r="E53" s="39">
        <v>-0.97</v>
      </c>
    </row>
    <row r="54" spans="1:5" ht="16" x14ac:dyDescent="0.2">
      <c r="A54" s="40">
        <v>42984.425000000003</v>
      </c>
      <c r="B54" s="1">
        <v>2465.5300000000002</v>
      </c>
      <c r="C54" s="41">
        <v>2464.8000000000002</v>
      </c>
      <c r="D54" s="38">
        <f t="shared" si="0"/>
        <v>-0.73000000000001819</v>
      </c>
      <c r="E54" s="39">
        <v>-0.81</v>
      </c>
    </row>
    <row r="55" spans="1:5" ht="16" x14ac:dyDescent="0.2">
      <c r="A55" s="40">
        <v>42984.425694444442</v>
      </c>
      <c r="B55" s="1">
        <v>2465.36</v>
      </c>
      <c r="C55" s="41">
        <v>2464.5</v>
      </c>
      <c r="D55" s="38">
        <f t="shared" si="0"/>
        <v>-0.86000000000012733</v>
      </c>
      <c r="E55" s="39">
        <v>-0.86</v>
      </c>
    </row>
    <row r="56" spans="1:5" ht="16" x14ac:dyDescent="0.2">
      <c r="A56" s="40">
        <v>42984.426388888889</v>
      </c>
      <c r="B56" s="1">
        <v>2465.14</v>
      </c>
      <c r="C56" s="41">
        <v>2464.5</v>
      </c>
      <c r="D56" s="38">
        <f t="shared" si="0"/>
        <v>-0.63999999999987267</v>
      </c>
      <c r="E56" s="39">
        <v>-0.72</v>
      </c>
    </row>
    <row r="57" spans="1:5" ht="16" x14ac:dyDescent="0.2">
      <c r="A57" s="40">
        <v>42984.427083333336</v>
      </c>
      <c r="B57" s="1">
        <v>2465.58</v>
      </c>
      <c r="C57" s="41">
        <v>2464.5</v>
      </c>
      <c r="D57" s="38">
        <f t="shared" si="0"/>
        <v>-1.0799999999999272</v>
      </c>
      <c r="E57" s="39">
        <v>-1.07</v>
      </c>
    </row>
    <row r="58" spans="1:5" ht="16" x14ac:dyDescent="0.2">
      <c r="A58" s="40">
        <v>42984.427777777775</v>
      </c>
      <c r="B58" s="1">
        <v>2464.4699999999998</v>
      </c>
      <c r="C58" s="41">
        <v>2464</v>
      </c>
      <c r="D58" s="38">
        <f t="shared" si="0"/>
        <v>-0.46999999999979991</v>
      </c>
      <c r="E58" s="39">
        <v>-0.45</v>
      </c>
    </row>
    <row r="59" spans="1:5" ht="16" x14ac:dyDescent="0.2">
      <c r="A59" s="40">
        <v>42984.428472222222</v>
      </c>
      <c r="B59" s="1">
        <v>2463.9899999999998</v>
      </c>
      <c r="C59" s="41">
        <v>2463.5</v>
      </c>
      <c r="D59" s="38">
        <f t="shared" si="0"/>
        <v>-0.48999999999978172</v>
      </c>
      <c r="E59" s="39">
        <v>-0.82</v>
      </c>
    </row>
    <row r="60" spans="1:5" ht="16" x14ac:dyDescent="0.2">
      <c r="A60" s="40">
        <v>42984.429166666669</v>
      </c>
      <c r="B60" s="1">
        <v>2463.5300000000002</v>
      </c>
      <c r="C60" s="41">
        <v>2463</v>
      </c>
      <c r="D60" s="38">
        <f t="shared" si="0"/>
        <v>-0.53000000000020009</v>
      </c>
      <c r="E60" s="39">
        <v>-0.61</v>
      </c>
    </row>
    <row r="61" spans="1:5" ht="16" x14ac:dyDescent="0.2">
      <c r="A61" s="40">
        <v>42984.429861111108</v>
      </c>
      <c r="B61" s="1">
        <v>2462.65</v>
      </c>
      <c r="C61" s="41">
        <v>2462</v>
      </c>
      <c r="D61" s="38">
        <f t="shared" si="0"/>
        <v>-0.65000000000009095</v>
      </c>
      <c r="E61" s="39">
        <v>-0.64</v>
      </c>
    </row>
    <row r="62" spans="1:5" ht="16" x14ac:dyDescent="0.2">
      <c r="A62" s="40">
        <v>42984.430555555555</v>
      </c>
      <c r="B62" s="1">
        <v>2462.4</v>
      </c>
      <c r="C62" s="41">
        <v>2462</v>
      </c>
      <c r="D62" s="38">
        <f t="shared" si="0"/>
        <v>-0.40000000000009095</v>
      </c>
      <c r="E62" s="39">
        <v>-0.38</v>
      </c>
    </row>
    <row r="63" spans="1:5" ht="16" x14ac:dyDescent="0.2">
      <c r="A63" s="40">
        <v>42984.431250000001</v>
      </c>
      <c r="B63" s="1">
        <v>2462.9</v>
      </c>
      <c r="C63" s="41">
        <v>2462</v>
      </c>
      <c r="D63" s="38">
        <f t="shared" si="0"/>
        <v>-0.90000000000009095</v>
      </c>
      <c r="E63" s="39">
        <v>-0.81</v>
      </c>
    </row>
    <row r="64" spans="1:5" ht="16" x14ac:dyDescent="0.2">
      <c r="A64" s="40">
        <v>42984.431944444441</v>
      </c>
      <c r="B64" s="1">
        <v>2463.2800000000002</v>
      </c>
      <c r="C64" s="41">
        <v>2462.5</v>
      </c>
      <c r="D64" s="38">
        <f t="shared" si="0"/>
        <v>-0.78000000000020009</v>
      </c>
      <c r="E64" s="39">
        <v>-1.27</v>
      </c>
    </row>
    <row r="65" spans="1:5" ht="16" x14ac:dyDescent="0.2">
      <c r="A65" s="40">
        <v>42984.432638888888</v>
      </c>
      <c r="B65" s="1">
        <v>2463.09</v>
      </c>
      <c r="C65" s="41">
        <v>2462</v>
      </c>
      <c r="D65" s="38">
        <f t="shared" si="0"/>
        <v>-1.0900000000001455</v>
      </c>
      <c r="E65" s="39">
        <v>-0.69</v>
      </c>
    </row>
    <row r="66" spans="1:5" ht="16" x14ac:dyDescent="0.2">
      <c r="A66" s="40">
        <v>42984.433333333334</v>
      </c>
      <c r="B66" s="1">
        <v>2462.87</v>
      </c>
      <c r="C66" s="41">
        <v>2462.5</v>
      </c>
      <c r="D66" s="38">
        <f t="shared" si="0"/>
        <v>-0.36999999999989086</v>
      </c>
      <c r="E66" s="39">
        <v>-0.44</v>
      </c>
    </row>
    <row r="67" spans="1:5" ht="16" x14ac:dyDescent="0.2">
      <c r="A67" s="40">
        <v>42984.434027777781</v>
      </c>
      <c r="B67" s="1">
        <v>2463.0700000000002</v>
      </c>
      <c r="C67" s="41">
        <v>2462.3000000000002</v>
      </c>
      <c r="D67" s="38">
        <f t="shared" si="0"/>
        <v>-0.76999999999998181</v>
      </c>
      <c r="E67" s="39">
        <v>-0.76</v>
      </c>
    </row>
    <row r="68" spans="1:5" ht="16" x14ac:dyDescent="0.2">
      <c r="A68" s="40">
        <v>42984.43472222222</v>
      </c>
      <c r="B68" s="1">
        <v>2462.86</v>
      </c>
      <c r="C68" s="41">
        <v>2462.3000000000002</v>
      </c>
      <c r="D68" s="38">
        <f t="shared" si="0"/>
        <v>-0.55999999999994543</v>
      </c>
      <c r="E68" s="39">
        <v>-0.73</v>
      </c>
    </row>
    <row r="69" spans="1:5" ht="16" x14ac:dyDescent="0.2">
      <c r="A69" s="40">
        <v>42984.435416666667</v>
      </c>
      <c r="B69" s="1">
        <v>2463.38</v>
      </c>
      <c r="C69" s="41">
        <v>2462.5</v>
      </c>
      <c r="D69" s="38">
        <f t="shared" si="0"/>
        <v>-0.88000000000010914</v>
      </c>
      <c r="E69" s="39">
        <v>-0.92</v>
      </c>
    </row>
    <row r="70" spans="1:5" ht="16" x14ac:dyDescent="0.2">
      <c r="A70" s="40">
        <v>42984.436111111114</v>
      </c>
      <c r="B70" s="1">
        <v>2463.4899999999998</v>
      </c>
      <c r="C70" s="41">
        <v>2462.5</v>
      </c>
      <c r="D70" s="38">
        <f t="shared" si="0"/>
        <v>-0.98999999999978172</v>
      </c>
      <c r="E70" s="39">
        <v>-0.99</v>
      </c>
    </row>
    <row r="71" spans="1:5" ht="16" x14ac:dyDescent="0.2">
      <c r="A71" s="40">
        <v>42984.436805555553</v>
      </c>
      <c r="B71" s="1">
        <v>2463.2600000000002</v>
      </c>
      <c r="C71" s="41">
        <v>2462.6999999999998</v>
      </c>
      <c r="D71" s="38">
        <f t="shared" si="0"/>
        <v>-0.56000000000040018</v>
      </c>
      <c r="E71" s="39">
        <v>-0.55000000000000004</v>
      </c>
    </row>
    <row r="72" spans="1:5" ht="16" x14ac:dyDescent="0.2">
      <c r="A72" s="40">
        <v>42984.4375</v>
      </c>
      <c r="B72" s="1">
        <v>2463.6799999999998</v>
      </c>
      <c r="C72" s="41">
        <v>2462.8000000000002</v>
      </c>
      <c r="D72" s="38">
        <f t="shared" si="0"/>
        <v>-0.87999999999965439</v>
      </c>
      <c r="E72" s="39">
        <v>-1.07</v>
      </c>
    </row>
    <row r="73" spans="1:5" ht="16" x14ac:dyDescent="0.2">
      <c r="A73" s="40">
        <v>42984.438194444447</v>
      </c>
      <c r="B73" s="1">
        <v>2462.6799999999998</v>
      </c>
      <c r="C73" s="41">
        <v>2462</v>
      </c>
      <c r="D73" s="38">
        <f t="shared" si="0"/>
        <v>-0.67999999999983629</v>
      </c>
      <c r="E73" s="39">
        <v>-0.59</v>
      </c>
    </row>
    <row r="74" spans="1:5" ht="16" x14ac:dyDescent="0.2">
      <c r="A74" s="40">
        <v>42984.438888888886</v>
      </c>
      <c r="B74" s="1">
        <v>2463.36</v>
      </c>
      <c r="C74" s="41">
        <v>2462.8000000000002</v>
      </c>
      <c r="D74" s="38">
        <f t="shared" si="0"/>
        <v>-0.55999999999994543</v>
      </c>
      <c r="E74" s="39">
        <v>-0.8</v>
      </c>
    </row>
    <row r="75" spans="1:5" ht="16" x14ac:dyDescent="0.2">
      <c r="A75" s="40">
        <v>42984.439583333333</v>
      </c>
      <c r="B75" s="1">
        <v>2463.5500000000002</v>
      </c>
      <c r="C75" s="41">
        <v>2463</v>
      </c>
      <c r="D75" s="38">
        <f t="shared" si="0"/>
        <v>-0.5500000000001819</v>
      </c>
      <c r="E75" s="39">
        <v>-0.53</v>
      </c>
    </row>
    <row r="76" spans="1:5" ht="16" x14ac:dyDescent="0.2">
      <c r="A76" s="40">
        <v>42984.44027777778</v>
      </c>
      <c r="B76" s="1">
        <v>2464.4299999999998</v>
      </c>
      <c r="C76" s="41">
        <v>2463.6999999999998</v>
      </c>
      <c r="D76" s="38">
        <f t="shared" si="0"/>
        <v>-0.73000000000001819</v>
      </c>
      <c r="E76" s="39">
        <v>-0.82</v>
      </c>
    </row>
    <row r="77" spans="1:5" ht="16" x14ac:dyDescent="0.2">
      <c r="A77" s="40">
        <v>42984.440972222219</v>
      </c>
      <c r="B77" s="1">
        <v>2464.44</v>
      </c>
      <c r="C77" s="41">
        <v>2463.6999999999998</v>
      </c>
      <c r="D77" s="38">
        <f t="shared" ref="D77:D140" si="1">IF(OR(C77="",B77=""),"",C77-B77)</f>
        <v>-0.74000000000023647</v>
      </c>
      <c r="E77" s="39">
        <v>-0.68</v>
      </c>
    </row>
    <row r="78" spans="1:5" ht="16" x14ac:dyDescent="0.2">
      <c r="A78" s="40">
        <v>42984.441666666666</v>
      </c>
      <c r="B78" s="1">
        <v>2464.0500000000002</v>
      </c>
      <c r="C78" s="41">
        <v>2463.6999999999998</v>
      </c>
      <c r="D78" s="38">
        <f t="shared" si="1"/>
        <v>-0.3500000000003638</v>
      </c>
      <c r="E78" s="39">
        <v>-0.41</v>
      </c>
    </row>
    <row r="79" spans="1:5" ht="16" x14ac:dyDescent="0.2">
      <c r="A79" s="40">
        <v>42984.442361111112</v>
      </c>
      <c r="B79" s="1">
        <v>2463.0300000000002</v>
      </c>
      <c r="C79" s="41">
        <v>2462.5</v>
      </c>
      <c r="D79" s="38">
        <f t="shared" si="1"/>
        <v>-0.53000000000020009</v>
      </c>
      <c r="E79" s="39">
        <v>-0.64</v>
      </c>
    </row>
    <row r="80" spans="1:5" ht="16" x14ac:dyDescent="0.2">
      <c r="A80" s="40">
        <v>42984.443055555559</v>
      </c>
      <c r="B80" s="1">
        <v>2462.6</v>
      </c>
      <c r="C80" s="41">
        <v>2462</v>
      </c>
      <c r="D80" s="38">
        <f t="shared" si="1"/>
        <v>-0.59999999999990905</v>
      </c>
      <c r="E80" s="39">
        <v>-0.66</v>
      </c>
    </row>
    <row r="81" spans="1:5" ht="16" x14ac:dyDescent="0.2">
      <c r="A81" s="40">
        <v>42984.443749999999</v>
      </c>
      <c r="B81" s="1">
        <v>2462.9899999999998</v>
      </c>
      <c r="C81" s="41">
        <v>2461.8000000000002</v>
      </c>
      <c r="D81" s="38">
        <f t="shared" si="1"/>
        <v>-1.1899999999995998</v>
      </c>
      <c r="E81" s="39">
        <v>-0.76</v>
      </c>
    </row>
    <row r="82" spans="1:5" ht="16" x14ac:dyDescent="0.2">
      <c r="A82" s="40">
        <v>42984.444444444445</v>
      </c>
      <c r="B82" s="1">
        <v>2462.41</v>
      </c>
      <c r="C82" s="41">
        <v>2461.5</v>
      </c>
      <c r="D82" s="38">
        <f t="shared" si="1"/>
        <v>-0.90999999999985448</v>
      </c>
      <c r="E82" s="39">
        <v>-0.88</v>
      </c>
    </row>
    <row r="83" spans="1:5" ht="16" x14ac:dyDescent="0.2">
      <c r="A83" s="40">
        <v>42984.445138888892</v>
      </c>
      <c r="B83" s="1">
        <v>2462.2800000000002</v>
      </c>
      <c r="C83" s="41">
        <v>2461.6999999999998</v>
      </c>
      <c r="D83" s="38">
        <f t="shared" si="1"/>
        <v>-0.58000000000038199</v>
      </c>
      <c r="E83" s="39">
        <v>-0.57999999999999996</v>
      </c>
    </row>
    <row r="84" spans="1:5" ht="16" x14ac:dyDescent="0.2">
      <c r="A84" s="40">
        <v>42984.445833333331</v>
      </c>
      <c r="B84" s="1">
        <v>2462.11</v>
      </c>
      <c r="C84" s="41">
        <v>2461.8000000000002</v>
      </c>
      <c r="D84" s="38">
        <f t="shared" si="1"/>
        <v>-0.30999999999994543</v>
      </c>
      <c r="E84" s="39">
        <v>-0.5</v>
      </c>
    </row>
    <row r="85" spans="1:5" ht="16" x14ac:dyDescent="0.2">
      <c r="A85" s="40">
        <v>42984.446527777778</v>
      </c>
      <c r="B85" s="1">
        <v>2462.33</v>
      </c>
      <c r="C85" s="41">
        <v>2461.8000000000002</v>
      </c>
      <c r="D85" s="38">
        <f t="shared" si="1"/>
        <v>-0.52999999999974534</v>
      </c>
      <c r="E85" s="39">
        <v>-0.62</v>
      </c>
    </row>
    <row r="86" spans="1:5" ht="16" x14ac:dyDescent="0.2">
      <c r="A86" s="40">
        <v>42984.447222222225</v>
      </c>
      <c r="B86" s="1">
        <v>2462.58</v>
      </c>
      <c r="C86" s="41">
        <v>2461.8000000000002</v>
      </c>
      <c r="D86" s="38">
        <f t="shared" si="1"/>
        <v>-0.77999999999974534</v>
      </c>
      <c r="E86" s="39">
        <v>-0.53</v>
      </c>
    </row>
    <row r="87" spans="1:5" ht="16" x14ac:dyDescent="0.2">
      <c r="A87" s="40">
        <v>42984.447916666664</v>
      </c>
      <c r="B87" s="1">
        <v>2460.3200000000002</v>
      </c>
      <c r="C87" s="41">
        <v>2461</v>
      </c>
      <c r="D87" s="38">
        <f t="shared" si="1"/>
        <v>0.67999999999983629</v>
      </c>
      <c r="E87" s="39">
        <v>0.6</v>
      </c>
    </row>
    <row r="88" spans="1:5" ht="16" x14ac:dyDescent="0.2">
      <c r="A88" s="40">
        <v>42984.448611111111</v>
      </c>
      <c r="B88" s="1">
        <v>2461.0300000000002</v>
      </c>
      <c r="C88" s="41">
        <v>2459.5</v>
      </c>
      <c r="D88" s="38">
        <f t="shared" si="1"/>
        <v>-1.5300000000002001</v>
      </c>
      <c r="E88" s="39">
        <v>-1.48</v>
      </c>
    </row>
    <row r="89" spans="1:5" ht="16" x14ac:dyDescent="0.2">
      <c r="A89" s="40">
        <v>42984.449305555558</v>
      </c>
      <c r="B89" s="1">
        <v>2463.4699999999998</v>
      </c>
      <c r="C89" s="41">
        <v>2462.5</v>
      </c>
      <c r="D89" s="38">
        <f t="shared" si="1"/>
        <v>-0.96999999999979991</v>
      </c>
      <c r="E89" s="39">
        <v>-0.56999999999999995</v>
      </c>
    </row>
    <row r="90" spans="1:5" ht="16" x14ac:dyDescent="0.2">
      <c r="A90" s="40">
        <v>42984.45</v>
      </c>
      <c r="B90" s="1">
        <v>2462.6799999999998</v>
      </c>
      <c r="C90" s="41">
        <v>2462.5</v>
      </c>
      <c r="D90" s="38">
        <f t="shared" si="1"/>
        <v>-0.17999999999983629</v>
      </c>
      <c r="E90" s="39">
        <v>-0.31</v>
      </c>
    </row>
    <row r="91" spans="1:5" ht="16" x14ac:dyDescent="0.2">
      <c r="A91" s="40">
        <v>42984.450694444444</v>
      </c>
      <c r="B91" s="1">
        <v>2462.9</v>
      </c>
      <c r="C91" s="41">
        <v>2462.5</v>
      </c>
      <c r="D91" s="38">
        <f t="shared" si="1"/>
        <v>-0.40000000000009095</v>
      </c>
      <c r="E91" s="39">
        <v>-0.46</v>
      </c>
    </row>
    <row r="92" spans="1:5" ht="16" x14ac:dyDescent="0.2">
      <c r="A92" s="40">
        <v>42984.451388888891</v>
      </c>
      <c r="B92" s="1">
        <v>2462.29</v>
      </c>
      <c r="C92" s="41">
        <v>2462.5</v>
      </c>
      <c r="D92" s="38">
        <f t="shared" si="1"/>
        <v>0.21000000000003638</v>
      </c>
      <c r="E92" s="39">
        <v>0</v>
      </c>
    </row>
    <row r="93" spans="1:5" ht="16" x14ac:dyDescent="0.2">
      <c r="A93" s="40">
        <v>42984.45208333333</v>
      </c>
      <c r="B93" s="1">
        <v>2461.84</v>
      </c>
      <c r="C93" s="41">
        <v>2461.5</v>
      </c>
      <c r="D93" s="38">
        <f t="shared" si="1"/>
        <v>-0.34000000000014552</v>
      </c>
      <c r="E93" s="39">
        <v>-0.63</v>
      </c>
    </row>
    <row r="94" spans="1:5" ht="16" x14ac:dyDescent="0.2">
      <c r="A94" s="40">
        <v>42984.452777777777</v>
      </c>
      <c r="B94" s="1">
        <v>2462.15</v>
      </c>
      <c r="C94" s="41">
        <v>2461.8000000000002</v>
      </c>
      <c r="D94" s="38">
        <f t="shared" si="1"/>
        <v>-0.34999999999990905</v>
      </c>
      <c r="E94" s="39">
        <v>-0.62</v>
      </c>
    </row>
    <row r="95" spans="1:5" ht="16" x14ac:dyDescent="0.2">
      <c r="A95" s="40">
        <v>42984.453472222223</v>
      </c>
      <c r="B95" s="1">
        <v>2462.2399999999998</v>
      </c>
      <c r="C95" s="41">
        <v>2461.5</v>
      </c>
      <c r="D95" s="38">
        <f t="shared" si="1"/>
        <v>-0.73999999999978172</v>
      </c>
      <c r="E95" s="39">
        <v>-0.71</v>
      </c>
    </row>
    <row r="96" spans="1:5" ht="16" x14ac:dyDescent="0.2">
      <c r="A96" s="40">
        <v>42984.45416666667</v>
      </c>
      <c r="B96" s="1">
        <v>2462.5300000000002</v>
      </c>
      <c r="C96" s="41">
        <v>2461.6999999999998</v>
      </c>
      <c r="D96" s="38">
        <f t="shared" si="1"/>
        <v>-0.83000000000038199</v>
      </c>
      <c r="E96" s="39">
        <v>-0.51</v>
      </c>
    </row>
    <row r="97" spans="1:5" ht="16" x14ac:dyDescent="0.2">
      <c r="A97" s="40">
        <v>42984.454861111109</v>
      </c>
      <c r="B97" s="1">
        <v>2462.12</v>
      </c>
      <c r="C97" s="41">
        <v>2461.8000000000002</v>
      </c>
      <c r="D97" s="38">
        <f t="shared" si="1"/>
        <v>-0.31999999999970896</v>
      </c>
      <c r="E97" s="39">
        <v>-0.04</v>
      </c>
    </row>
    <row r="98" spans="1:5" ht="16" x14ac:dyDescent="0.2">
      <c r="A98" s="40">
        <v>42984.455555555556</v>
      </c>
      <c r="B98" s="1">
        <v>2462.39</v>
      </c>
      <c r="C98" s="41">
        <v>2461.5</v>
      </c>
      <c r="D98" s="38">
        <f t="shared" si="1"/>
        <v>-0.88999999999987267</v>
      </c>
      <c r="E98" s="39">
        <v>-0.84</v>
      </c>
    </row>
    <row r="99" spans="1:5" ht="16" x14ac:dyDescent="0.2">
      <c r="A99" s="40">
        <v>42984.456250000003</v>
      </c>
      <c r="B99" s="1">
        <v>2463.11</v>
      </c>
      <c r="C99" s="41">
        <v>2462.5</v>
      </c>
      <c r="D99" s="38">
        <f t="shared" si="1"/>
        <v>-0.61000000000012733</v>
      </c>
      <c r="E99" s="39">
        <v>-0.53</v>
      </c>
    </row>
    <row r="100" spans="1:5" ht="16" x14ac:dyDescent="0.2">
      <c r="A100" s="40">
        <v>42984.456944444442</v>
      </c>
      <c r="B100" s="1">
        <v>2462.6999999999998</v>
      </c>
      <c r="C100" s="41">
        <v>2462.5</v>
      </c>
      <c r="D100" s="38">
        <f t="shared" si="1"/>
        <v>-0.1999999999998181</v>
      </c>
      <c r="E100" s="39">
        <v>-0.21</v>
      </c>
    </row>
    <row r="101" spans="1:5" ht="16" x14ac:dyDescent="0.2">
      <c r="A101" s="40">
        <v>42984.457638888889</v>
      </c>
      <c r="B101" s="1">
        <v>2463.6999999999998</v>
      </c>
      <c r="C101" s="41">
        <v>2462</v>
      </c>
      <c r="D101" s="38">
        <f t="shared" si="1"/>
        <v>-1.6999999999998181</v>
      </c>
      <c r="E101" s="39">
        <v>-0.55000000000000004</v>
      </c>
    </row>
    <row r="102" spans="1:5" ht="16" x14ac:dyDescent="0.2">
      <c r="A102" s="40">
        <v>42984.458333333336</v>
      </c>
      <c r="B102" s="1">
        <v>2463.37</v>
      </c>
      <c r="C102" s="41">
        <v>2462.5</v>
      </c>
      <c r="D102" s="38">
        <f t="shared" si="1"/>
        <v>-0.86999999999989086</v>
      </c>
      <c r="E102" s="39">
        <v>-0.85</v>
      </c>
    </row>
    <row r="103" spans="1:5" ht="16" x14ac:dyDescent="0.2">
      <c r="A103" s="40">
        <v>42984.459027777775</v>
      </c>
      <c r="B103" s="1">
        <v>2463.77</v>
      </c>
      <c r="C103" s="41">
        <v>2463.1999999999998</v>
      </c>
      <c r="D103" s="38">
        <f t="shared" si="1"/>
        <v>-0.57000000000016371</v>
      </c>
      <c r="E103" s="39">
        <v>-0.64</v>
      </c>
    </row>
    <row r="104" spans="1:5" ht="16" x14ac:dyDescent="0.2">
      <c r="A104" s="40">
        <v>42984.459722222222</v>
      </c>
      <c r="B104" s="1">
        <v>2464.04</v>
      </c>
      <c r="C104" s="41">
        <v>2463.1999999999998</v>
      </c>
      <c r="D104" s="38">
        <f t="shared" si="1"/>
        <v>-0.84000000000014552</v>
      </c>
      <c r="E104" s="39">
        <v>-0.87</v>
      </c>
    </row>
    <row r="105" spans="1:5" ht="16" x14ac:dyDescent="0.2">
      <c r="A105" s="40">
        <v>42984.460416666669</v>
      </c>
      <c r="B105" s="1">
        <v>2463.59</v>
      </c>
      <c r="C105" s="41">
        <v>2462.8000000000002</v>
      </c>
      <c r="D105" s="38">
        <f t="shared" si="1"/>
        <v>-0.78999999999996362</v>
      </c>
      <c r="E105" s="39">
        <v>-0.71</v>
      </c>
    </row>
    <row r="106" spans="1:5" ht="16" x14ac:dyDescent="0.2">
      <c r="A106" s="40">
        <v>42984.461111111108</v>
      </c>
      <c r="B106" s="1">
        <v>2463.63</v>
      </c>
      <c r="C106" s="41">
        <v>2462.5</v>
      </c>
      <c r="D106" s="38">
        <f t="shared" si="1"/>
        <v>-1.1300000000001091</v>
      </c>
      <c r="E106" s="39">
        <v>-1.0900000000000001</v>
      </c>
    </row>
    <row r="107" spans="1:5" ht="16" x14ac:dyDescent="0.2">
      <c r="A107" s="40">
        <v>42984.461805555555</v>
      </c>
      <c r="B107" s="1">
        <v>2462.98</v>
      </c>
      <c r="C107" s="41">
        <v>2462</v>
      </c>
      <c r="D107" s="38">
        <f t="shared" si="1"/>
        <v>-0.98000000000001819</v>
      </c>
      <c r="E107" s="39">
        <v>-1.04</v>
      </c>
    </row>
    <row r="108" spans="1:5" ht="16" x14ac:dyDescent="0.2">
      <c r="A108" s="40">
        <v>42984.462500000001</v>
      </c>
      <c r="B108" s="1">
        <v>2462.6999999999998</v>
      </c>
      <c r="C108" s="41">
        <v>2461.8000000000002</v>
      </c>
      <c r="D108" s="38">
        <f t="shared" si="1"/>
        <v>-0.8999999999996362</v>
      </c>
      <c r="E108" s="39">
        <v>-0.96</v>
      </c>
    </row>
    <row r="109" spans="1:5" ht="16" x14ac:dyDescent="0.2">
      <c r="A109" s="40">
        <v>42984.463194444441</v>
      </c>
      <c r="B109" s="1">
        <v>2462.5100000000002</v>
      </c>
      <c r="C109" s="41">
        <v>2461.6999999999998</v>
      </c>
      <c r="D109" s="38">
        <f t="shared" si="1"/>
        <v>-0.81000000000040018</v>
      </c>
      <c r="E109" s="39">
        <v>-0.91</v>
      </c>
    </row>
    <row r="110" spans="1:5" ht="16" x14ac:dyDescent="0.2">
      <c r="A110" s="40">
        <v>42984.463888888888</v>
      </c>
      <c r="B110" s="1">
        <v>2461.5700000000002</v>
      </c>
      <c r="C110" s="41">
        <v>2460.8000000000002</v>
      </c>
      <c r="D110" s="38">
        <f t="shared" si="1"/>
        <v>-0.76999999999998181</v>
      </c>
      <c r="E110" s="39">
        <v>-0.81</v>
      </c>
    </row>
    <row r="111" spans="1:5" ht="16" x14ac:dyDescent="0.2">
      <c r="A111" s="40">
        <v>42984.464583333334</v>
      </c>
      <c r="B111" s="1">
        <v>2460.96</v>
      </c>
      <c r="C111" s="41">
        <v>2460.1999999999998</v>
      </c>
      <c r="D111" s="38">
        <f t="shared" si="1"/>
        <v>-0.76000000000021828</v>
      </c>
      <c r="E111" s="39">
        <v>-0.84</v>
      </c>
    </row>
    <row r="112" spans="1:5" ht="16" x14ac:dyDescent="0.2">
      <c r="A112" s="40">
        <v>42984.465277777781</v>
      </c>
      <c r="B112" s="1">
        <v>2460.19</v>
      </c>
      <c r="C112" s="41">
        <v>2459.8000000000002</v>
      </c>
      <c r="D112" s="38">
        <f t="shared" si="1"/>
        <v>-0.38999999999987267</v>
      </c>
      <c r="E112" s="39">
        <v>-0.42</v>
      </c>
    </row>
    <row r="113" spans="1:5" ht="16" x14ac:dyDescent="0.2">
      <c r="A113" s="40">
        <v>42984.46597222222</v>
      </c>
      <c r="B113" s="1">
        <v>2460.15</v>
      </c>
      <c r="C113" s="41">
        <v>2459.3000000000002</v>
      </c>
      <c r="D113" s="38">
        <f t="shared" si="1"/>
        <v>-0.84999999999990905</v>
      </c>
      <c r="E113" s="39">
        <v>-0.73</v>
      </c>
    </row>
    <row r="114" spans="1:5" ht="16" x14ac:dyDescent="0.2">
      <c r="A114" s="40">
        <v>42984.466666666667</v>
      </c>
      <c r="B114" s="1">
        <v>2459.88</v>
      </c>
      <c r="C114" s="41">
        <v>2459.3000000000002</v>
      </c>
      <c r="D114" s="38">
        <f t="shared" si="1"/>
        <v>-0.57999999999992724</v>
      </c>
      <c r="E114" s="39">
        <v>-0.84</v>
      </c>
    </row>
    <row r="115" spans="1:5" ht="16" x14ac:dyDescent="0.2">
      <c r="A115" s="40">
        <v>42984.467361111114</v>
      </c>
      <c r="B115" s="1">
        <v>2459.6999999999998</v>
      </c>
      <c r="C115" s="41">
        <v>2458.5</v>
      </c>
      <c r="D115" s="38">
        <f t="shared" si="1"/>
        <v>-1.1999999999998181</v>
      </c>
      <c r="E115" s="39">
        <v>-0.78</v>
      </c>
    </row>
    <row r="116" spans="1:5" ht="16" x14ac:dyDescent="0.2">
      <c r="A116" s="40">
        <v>42984.468055555553</v>
      </c>
      <c r="B116" s="1">
        <v>2459.65</v>
      </c>
      <c r="C116" s="41">
        <v>2459</v>
      </c>
      <c r="D116" s="38">
        <f t="shared" si="1"/>
        <v>-0.65000000000009095</v>
      </c>
      <c r="E116" s="39">
        <v>-0.63</v>
      </c>
    </row>
    <row r="117" spans="1:5" ht="16" x14ac:dyDescent="0.2">
      <c r="A117" s="40">
        <v>42984.46875</v>
      </c>
      <c r="B117" s="1">
        <v>2460</v>
      </c>
      <c r="C117" s="41">
        <v>2459</v>
      </c>
      <c r="D117" s="38">
        <f t="shared" si="1"/>
        <v>-1</v>
      </c>
      <c r="E117" s="39">
        <v>-0.96</v>
      </c>
    </row>
    <row r="118" spans="1:5" ht="16" x14ac:dyDescent="0.2">
      <c r="A118" s="40">
        <v>42984.469444444447</v>
      </c>
      <c r="B118" s="1">
        <v>2460.21</v>
      </c>
      <c r="C118" s="41">
        <v>2459.8000000000002</v>
      </c>
      <c r="D118" s="38">
        <f t="shared" si="1"/>
        <v>-0.40999999999985448</v>
      </c>
      <c r="E118" s="39">
        <v>-0.39</v>
      </c>
    </row>
    <row r="119" spans="1:5" ht="16" x14ac:dyDescent="0.2">
      <c r="A119" s="40">
        <v>42984.470138888886</v>
      </c>
      <c r="B119" s="1">
        <v>2460.13</v>
      </c>
      <c r="C119" s="41">
        <v>2459.3000000000002</v>
      </c>
      <c r="D119" s="38">
        <f t="shared" si="1"/>
        <v>-0.82999999999992724</v>
      </c>
      <c r="E119" s="39">
        <v>-0.88</v>
      </c>
    </row>
    <row r="120" spans="1:5" ht="16" x14ac:dyDescent="0.2">
      <c r="A120" s="40">
        <v>42984.470833333333</v>
      </c>
      <c r="B120" s="1">
        <v>2460.59</v>
      </c>
      <c r="C120" s="41">
        <v>2459.3000000000002</v>
      </c>
      <c r="D120" s="38">
        <f t="shared" si="1"/>
        <v>-1.2899999999999636</v>
      </c>
      <c r="E120" s="39">
        <v>-1.26</v>
      </c>
    </row>
    <row r="121" spans="1:5" ht="16" x14ac:dyDescent="0.2">
      <c r="A121" s="40">
        <v>42984.47152777778</v>
      </c>
      <c r="B121" s="1">
        <v>2460.83</v>
      </c>
      <c r="C121" s="41">
        <v>2459.3000000000002</v>
      </c>
      <c r="D121" s="38">
        <f t="shared" si="1"/>
        <v>-1.5299999999997453</v>
      </c>
      <c r="E121" s="39">
        <v>-1.42</v>
      </c>
    </row>
    <row r="122" spans="1:5" ht="16" x14ac:dyDescent="0.2">
      <c r="A122" s="40">
        <v>42984.472222222219</v>
      </c>
      <c r="B122" s="1">
        <v>2461.4</v>
      </c>
      <c r="C122" s="41">
        <v>2460.5</v>
      </c>
      <c r="D122" s="38">
        <f t="shared" si="1"/>
        <v>-0.90000000000009095</v>
      </c>
      <c r="E122" s="39">
        <v>-1.35</v>
      </c>
    </row>
    <row r="123" spans="1:5" ht="16" x14ac:dyDescent="0.2">
      <c r="A123" s="40">
        <v>42984.472916666666</v>
      </c>
      <c r="B123" s="1">
        <v>2461.5100000000002</v>
      </c>
      <c r="C123" s="41">
        <v>2460.5</v>
      </c>
      <c r="D123" s="38">
        <f t="shared" si="1"/>
        <v>-1.0100000000002183</v>
      </c>
      <c r="E123" s="39">
        <v>-0.99</v>
      </c>
    </row>
    <row r="124" spans="1:5" ht="16" x14ac:dyDescent="0.2">
      <c r="A124" s="40">
        <v>42984.473611111112</v>
      </c>
      <c r="B124" s="1">
        <v>2461.7399999999998</v>
      </c>
      <c r="C124" s="41">
        <v>2460.5</v>
      </c>
      <c r="D124" s="38">
        <f t="shared" si="1"/>
        <v>-1.2399999999997817</v>
      </c>
      <c r="E124" s="39">
        <v>-1.0900000000000001</v>
      </c>
    </row>
    <row r="125" spans="1:5" ht="16" x14ac:dyDescent="0.2">
      <c r="A125" s="40">
        <v>42984.474305555559</v>
      </c>
      <c r="B125" s="1">
        <v>2461.59</v>
      </c>
      <c r="C125" s="41">
        <v>2461</v>
      </c>
      <c r="D125" s="38">
        <f t="shared" si="1"/>
        <v>-0.59000000000014552</v>
      </c>
      <c r="E125" s="39">
        <v>-0.63</v>
      </c>
    </row>
    <row r="126" spans="1:5" ht="16" x14ac:dyDescent="0.2">
      <c r="A126" s="40">
        <v>42984.474999999999</v>
      </c>
      <c r="B126" s="1">
        <v>2461.5700000000002</v>
      </c>
      <c r="C126" s="41">
        <v>2461</v>
      </c>
      <c r="D126" s="38">
        <f t="shared" si="1"/>
        <v>-0.57000000000016371</v>
      </c>
      <c r="E126" s="39">
        <v>-0.57999999999999996</v>
      </c>
    </row>
    <row r="127" spans="1:5" ht="16" x14ac:dyDescent="0.2">
      <c r="A127" s="40">
        <v>42984.475694444445</v>
      </c>
      <c r="B127" s="1">
        <v>2461.9699999999998</v>
      </c>
      <c r="C127" s="41">
        <v>2461</v>
      </c>
      <c r="D127" s="38">
        <f t="shared" si="1"/>
        <v>-0.96999999999979991</v>
      </c>
      <c r="E127" s="39">
        <v>-0.95</v>
      </c>
    </row>
    <row r="128" spans="1:5" ht="16" x14ac:dyDescent="0.2">
      <c r="A128" s="40">
        <v>42984.476388888892</v>
      </c>
      <c r="B128" s="1">
        <v>2461.85</v>
      </c>
      <c r="C128" s="41">
        <v>2461</v>
      </c>
      <c r="D128" s="38">
        <f t="shared" si="1"/>
        <v>-0.84999999999990905</v>
      </c>
      <c r="E128" s="39">
        <v>-0.91</v>
      </c>
    </row>
    <row r="129" spans="1:5" ht="16" x14ac:dyDescent="0.2">
      <c r="A129" s="40">
        <v>42984.477083333331</v>
      </c>
      <c r="B129" s="1">
        <v>2461.5500000000002</v>
      </c>
      <c r="C129" s="41">
        <v>2461</v>
      </c>
      <c r="D129" s="38">
        <f t="shared" si="1"/>
        <v>-0.5500000000001819</v>
      </c>
      <c r="E129" s="39">
        <v>-0.68</v>
      </c>
    </row>
    <row r="130" spans="1:5" ht="16" x14ac:dyDescent="0.2">
      <c r="A130" s="40">
        <v>42984.477777777778</v>
      </c>
      <c r="B130" s="1">
        <v>2461.48</v>
      </c>
      <c r="C130" s="41">
        <v>2460.5</v>
      </c>
      <c r="D130" s="38">
        <f t="shared" si="1"/>
        <v>-0.98000000000001819</v>
      </c>
      <c r="E130" s="39">
        <v>-0.93</v>
      </c>
    </row>
    <row r="131" spans="1:5" ht="16" x14ac:dyDescent="0.2">
      <c r="A131" s="40">
        <v>42984.478472222225</v>
      </c>
      <c r="B131" s="1">
        <v>2461.65</v>
      </c>
      <c r="C131" s="41">
        <v>2461</v>
      </c>
      <c r="D131" s="38">
        <f t="shared" si="1"/>
        <v>-0.65000000000009095</v>
      </c>
      <c r="E131" s="39">
        <v>-0.93</v>
      </c>
    </row>
    <row r="132" spans="1:5" ht="16" x14ac:dyDescent="0.2">
      <c r="A132" s="40">
        <v>42984.479166666664</v>
      </c>
      <c r="B132" s="1">
        <v>2460.91</v>
      </c>
      <c r="C132" s="41">
        <v>2461</v>
      </c>
      <c r="D132" s="38">
        <f t="shared" si="1"/>
        <v>9.0000000000145519E-2</v>
      </c>
      <c r="E132" s="39">
        <v>-0.4</v>
      </c>
    </row>
    <row r="133" spans="1:5" ht="16" x14ac:dyDescent="0.2">
      <c r="A133" s="40">
        <v>42984.479861111111</v>
      </c>
      <c r="B133" s="1">
        <v>2461.65</v>
      </c>
      <c r="C133" s="41">
        <v>2460</v>
      </c>
      <c r="D133" s="38">
        <f t="shared" si="1"/>
        <v>-1.6500000000000909</v>
      </c>
      <c r="E133" s="39">
        <v>-1.07</v>
      </c>
    </row>
    <row r="134" spans="1:5" ht="16" x14ac:dyDescent="0.2">
      <c r="A134" s="40">
        <v>42984.480555555558</v>
      </c>
      <c r="B134" s="1">
        <v>2462.3000000000002</v>
      </c>
      <c r="C134" s="41">
        <v>2461.1999999999998</v>
      </c>
      <c r="D134" s="38">
        <f t="shared" si="1"/>
        <v>-1.1000000000003638</v>
      </c>
      <c r="E134" s="39">
        <v>-1</v>
      </c>
    </row>
    <row r="135" spans="1:5" ht="16" x14ac:dyDescent="0.2">
      <c r="A135" s="40">
        <v>42984.481249999997</v>
      </c>
      <c r="B135" s="1">
        <v>2462.21</v>
      </c>
      <c r="C135" s="41">
        <v>2461.3000000000002</v>
      </c>
      <c r="D135" s="38">
        <f t="shared" si="1"/>
        <v>-0.90999999999985448</v>
      </c>
      <c r="E135" s="39">
        <v>-0.92</v>
      </c>
    </row>
    <row r="136" spans="1:5" ht="16" x14ac:dyDescent="0.2">
      <c r="A136" s="40">
        <v>42984.481944444444</v>
      </c>
      <c r="B136" s="1">
        <v>2462.17</v>
      </c>
      <c r="C136" s="41">
        <v>2461</v>
      </c>
      <c r="D136" s="38">
        <f t="shared" si="1"/>
        <v>-1.1700000000000728</v>
      </c>
      <c r="E136" s="39">
        <v>-1.17</v>
      </c>
    </row>
    <row r="137" spans="1:5" ht="16" x14ac:dyDescent="0.2">
      <c r="A137" s="40">
        <v>42984.482638888891</v>
      </c>
      <c r="B137" s="1">
        <v>2462.25</v>
      </c>
      <c r="C137" s="41">
        <v>2461</v>
      </c>
      <c r="D137" s="38">
        <f t="shared" si="1"/>
        <v>-1.25</v>
      </c>
      <c r="E137" s="39">
        <v>-1.17</v>
      </c>
    </row>
    <row r="138" spans="1:5" ht="16" x14ac:dyDescent="0.2">
      <c r="A138" s="40">
        <v>42984.48333333333</v>
      </c>
      <c r="B138" s="1">
        <v>2462.63</v>
      </c>
      <c r="C138" s="41">
        <v>2462</v>
      </c>
      <c r="D138" s="38">
        <f t="shared" si="1"/>
        <v>-0.63000000000010914</v>
      </c>
      <c r="E138" s="39">
        <v>-0.66</v>
      </c>
    </row>
    <row r="139" spans="1:5" ht="16" x14ac:dyDescent="0.2">
      <c r="A139" s="40">
        <v>42984.484027777777</v>
      </c>
      <c r="B139" s="1">
        <v>2462.58</v>
      </c>
      <c r="C139" s="41">
        <v>2462</v>
      </c>
      <c r="D139" s="38">
        <f t="shared" si="1"/>
        <v>-0.57999999999992724</v>
      </c>
      <c r="E139" s="39">
        <v>-0.65</v>
      </c>
    </row>
    <row r="140" spans="1:5" ht="16" x14ac:dyDescent="0.2">
      <c r="A140" s="40">
        <v>42984.484722222223</v>
      </c>
      <c r="B140" s="1">
        <v>2462.4</v>
      </c>
      <c r="C140" s="41">
        <v>2462</v>
      </c>
      <c r="D140" s="38">
        <f t="shared" si="1"/>
        <v>-0.40000000000009095</v>
      </c>
      <c r="E140" s="39">
        <v>-0.65</v>
      </c>
    </row>
    <row r="141" spans="1:5" ht="16" x14ac:dyDescent="0.2">
      <c r="A141" s="40">
        <v>42984.48541666667</v>
      </c>
      <c r="B141" s="1">
        <v>2462.42</v>
      </c>
      <c r="C141" s="41">
        <v>2461.5</v>
      </c>
      <c r="D141" s="38">
        <f t="shared" ref="D141:D204" si="2">IF(OR(C141="",B141=""),"",C141-B141)</f>
        <v>-0.92000000000007276</v>
      </c>
      <c r="E141" s="39">
        <v>-1.08</v>
      </c>
    </row>
    <row r="142" spans="1:5" ht="16" x14ac:dyDescent="0.2">
      <c r="A142" s="40">
        <v>42984.486111111109</v>
      </c>
      <c r="B142" s="1">
        <v>2462.6799999999998</v>
      </c>
      <c r="C142" s="41">
        <v>2462</v>
      </c>
      <c r="D142" s="38">
        <f t="shared" si="2"/>
        <v>-0.67999999999983629</v>
      </c>
      <c r="E142" s="39">
        <v>-1.1499999999999999</v>
      </c>
    </row>
    <row r="143" spans="1:5" ht="16" x14ac:dyDescent="0.2">
      <c r="A143" s="40">
        <v>42984.486805555556</v>
      </c>
      <c r="B143" s="1">
        <v>2462.2199999999998</v>
      </c>
      <c r="C143" s="41">
        <v>2461.6999999999998</v>
      </c>
      <c r="D143" s="38">
        <f t="shared" si="2"/>
        <v>-0.51999999999998181</v>
      </c>
      <c r="E143" s="39">
        <v>-0.79</v>
      </c>
    </row>
    <row r="144" spans="1:5" ht="16" x14ac:dyDescent="0.2">
      <c r="A144" s="40">
        <v>42984.487500000003</v>
      </c>
      <c r="B144" s="1">
        <v>2461.9899999999998</v>
      </c>
      <c r="C144" s="41">
        <v>2461.5</v>
      </c>
      <c r="D144" s="38">
        <f t="shared" si="2"/>
        <v>-0.48999999999978172</v>
      </c>
      <c r="E144" s="39">
        <v>-0.54</v>
      </c>
    </row>
    <row r="145" spans="1:5" ht="16" x14ac:dyDescent="0.2">
      <c r="A145" s="40">
        <v>42984.488194444442</v>
      </c>
      <c r="B145" s="1">
        <v>2462.12</v>
      </c>
      <c r="C145" s="41">
        <v>2461.5</v>
      </c>
      <c r="D145" s="38">
        <f t="shared" si="2"/>
        <v>-0.61999999999989086</v>
      </c>
      <c r="E145" s="39">
        <v>-0.57999999999999996</v>
      </c>
    </row>
    <row r="146" spans="1:5" ht="16" x14ac:dyDescent="0.2">
      <c r="A146" s="40">
        <v>42984.488888888889</v>
      </c>
      <c r="B146" s="1">
        <v>2462.11</v>
      </c>
      <c r="C146" s="41">
        <v>2461.1999999999998</v>
      </c>
      <c r="D146" s="38">
        <f t="shared" si="2"/>
        <v>-0.91000000000030923</v>
      </c>
      <c r="E146" s="39">
        <v>-0.89</v>
      </c>
    </row>
    <row r="147" spans="1:5" ht="16" x14ac:dyDescent="0.2">
      <c r="A147" s="40">
        <v>42984.489583333336</v>
      </c>
      <c r="B147" s="1">
        <v>2462.17</v>
      </c>
      <c r="C147" s="41">
        <v>2461.5</v>
      </c>
      <c r="D147" s="38">
        <f t="shared" si="2"/>
        <v>-0.67000000000007276</v>
      </c>
      <c r="E147" s="39">
        <v>-0.69</v>
      </c>
    </row>
    <row r="148" spans="1:5" ht="16" x14ac:dyDescent="0.2">
      <c r="A148" s="40">
        <v>42984.490277777775</v>
      </c>
      <c r="B148" s="1">
        <v>2462.31</v>
      </c>
      <c r="C148" s="41">
        <v>2461.5</v>
      </c>
      <c r="D148" s="38">
        <f t="shared" si="2"/>
        <v>-0.80999999999994543</v>
      </c>
      <c r="E148" s="39">
        <v>-0.72</v>
      </c>
    </row>
    <row r="149" spans="1:5" ht="16" x14ac:dyDescent="0.2">
      <c r="A149" s="40">
        <v>42984.490972222222</v>
      </c>
      <c r="B149" s="1">
        <v>2462.11</v>
      </c>
      <c r="C149" s="41">
        <v>2461.5</v>
      </c>
      <c r="D149" s="38">
        <f t="shared" si="2"/>
        <v>-0.61000000000012733</v>
      </c>
      <c r="E149" s="39">
        <v>-0.64</v>
      </c>
    </row>
    <row r="150" spans="1:5" ht="16" x14ac:dyDescent="0.2">
      <c r="A150" s="40">
        <v>42984.491666666669</v>
      </c>
      <c r="B150" s="1">
        <v>2462.13</v>
      </c>
      <c r="C150" s="41">
        <v>2461.5</v>
      </c>
      <c r="D150" s="38">
        <f t="shared" si="2"/>
        <v>-0.63000000000010914</v>
      </c>
      <c r="E150" s="39">
        <v>-0.66</v>
      </c>
    </row>
    <row r="151" spans="1:5" ht="16" x14ac:dyDescent="0.2">
      <c r="A151" s="40">
        <v>42984.492361111108</v>
      </c>
      <c r="B151" s="1">
        <v>2462</v>
      </c>
      <c r="C151" s="41">
        <v>2461.5</v>
      </c>
      <c r="D151" s="38">
        <f t="shared" si="2"/>
        <v>-0.5</v>
      </c>
      <c r="E151" s="39">
        <v>-0.53</v>
      </c>
    </row>
    <row r="152" spans="1:5" ht="16" x14ac:dyDescent="0.2">
      <c r="A152" s="40">
        <v>42984.493055555555</v>
      </c>
      <c r="B152" s="1">
        <v>2461.84</v>
      </c>
      <c r="C152" s="41">
        <v>2461.5</v>
      </c>
      <c r="D152" s="38">
        <f t="shared" si="2"/>
        <v>-0.34000000000014552</v>
      </c>
      <c r="E152" s="39">
        <v>-0.34</v>
      </c>
    </row>
    <row r="153" spans="1:5" ht="16" x14ac:dyDescent="0.2">
      <c r="A153" s="40">
        <v>42984.493750000001</v>
      </c>
      <c r="B153" s="1">
        <v>2461.37</v>
      </c>
      <c r="C153" s="41">
        <v>2461</v>
      </c>
      <c r="D153" s="38">
        <f t="shared" si="2"/>
        <v>-0.36999999999989086</v>
      </c>
      <c r="E153" s="39">
        <v>-0.3</v>
      </c>
    </row>
    <row r="154" spans="1:5" ht="16" x14ac:dyDescent="0.2">
      <c r="A154" s="40">
        <v>42984.494444444441</v>
      </c>
      <c r="B154" s="1">
        <v>2461.1799999999998</v>
      </c>
      <c r="C154" s="41">
        <v>2461</v>
      </c>
      <c r="D154" s="38">
        <f t="shared" si="2"/>
        <v>-0.17999999999983629</v>
      </c>
      <c r="E154" s="39">
        <v>-0.24</v>
      </c>
    </row>
    <row r="155" spans="1:5" ht="16" x14ac:dyDescent="0.2">
      <c r="A155" s="40">
        <v>42984.495138888888</v>
      </c>
      <c r="B155" s="1">
        <v>2461.15</v>
      </c>
      <c r="C155" s="41">
        <v>2461</v>
      </c>
      <c r="D155" s="38">
        <f t="shared" si="2"/>
        <v>-0.15000000000009095</v>
      </c>
      <c r="E155" s="39">
        <v>-0.15</v>
      </c>
    </row>
    <row r="156" spans="1:5" ht="16" x14ac:dyDescent="0.2">
      <c r="A156" s="40">
        <v>42984.495833333334</v>
      </c>
      <c r="B156" s="1">
        <v>2461.59</v>
      </c>
      <c r="C156" s="41">
        <v>2460.8000000000002</v>
      </c>
      <c r="D156" s="38">
        <f t="shared" si="2"/>
        <v>-0.78999999999996362</v>
      </c>
      <c r="E156" s="39">
        <v>-0.75</v>
      </c>
    </row>
    <row r="157" spans="1:5" ht="16" x14ac:dyDescent="0.2">
      <c r="A157" s="40">
        <v>42984.496527777781</v>
      </c>
      <c r="B157" s="1">
        <v>2461.91</v>
      </c>
      <c r="C157" s="41">
        <v>2460.8000000000002</v>
      </c>
      <c r="D157" s="38">
        <f t="shared" si="2"/>
        <v>-1.1099999999996726</v>
      </c>
      <c r="E157" s="39">
        <v>-1.1200000000000001</v>
      </c>
    </row>
    <row r="158" spans="1:5" ht="16" x14ac:dyDescent="0.2">
      <c r="A158" s="40">
        <v>42984.49722222222</v>
      </c>
      <c r="B158" s="1">
        <v>2462.21</v>
      </c>
      <c r="C158" s="41">
        <v>2460.8000000000002</v>
      </c>
      <c r="D158" s="38">
        <f t="shared" si="2"/>
        <v>-1.4099999999998545</v>
      </c>
      <c r="E158" s="39">
        <v>-1.39</v>
      </c>
    </row>
    <row r="159" spans="1:5" ht="16" x14ac:dyDescent="0.2">
      <c r="A159" s="40">
        <v>42984.497916666667</v>
      </c>
      <c r="B159" s="1">
        <v>2462.56</v>
      </c>
      <c r="C159" s="41">
        <v>2460.8000000000002</v>
      </c>
      <c r="D159" s="38">
        <f t="shared" si="2"/>
        <v>-1.7599999999997635</v>
      </c>
      <c r="E159" s="39">
        <v>-1.68</v>
      </c>
    </row>
    <row r="160" spans="1:5" ht="16" x14ac:dyDescent="0.2">
      <c r="A160" s="40">
        <v>42984.498611111114</v>
      </c>
      <c r="B160" s="1">
        <v>2462.38</v>
      </c>
      <c r="C160" s="41">
        <v>2461.5</v>
      </c>
      <c r="D160" s="38">
        <f t="shared" si="2"/>
        <v>-0.88000000000010914</v>
      </c>
      <c r="E160" s="39">
        <v>-0.89</v>
      </c>
    </row>
    <row r="161" spans="1:5" ht="16" x14ac:dyDescent="0.2">
      <c r="A161" s="40">
        <v>42984.499305555553</v>
      </c>
      <c r="B161" s="1">
        <v>2462.69</v>
      </c>
      <c r="C161" s="41">
        <v>2461.5</v>
      </c>
      <c r="D161" s="38">
        <f t="shared" si="2"/>
        <v>-1.1900000000000546</v>
      </c>
      <c r="E161" s="39">
        <v>-0.99</v>
      </c>
    </row>
    <row r="162" spans="1:5" ht="16" x14ac:dyDescent="0.2">
      <c r="A162" s="40">
        <v>42984.5</v>
      </c>
      <c r="B162" s="1">
        <v>2462.39</v>
      </c>
      <c r="C162" s="41">
        <v>2461.5</v>
      </c>
      <c r="D162" s="38">
        <f t="shared" si="2"/>
        <v>-0.88999999999987267</v>
      </c>
      <c r="E162" s="39">
        <v>-0.9</v>
      </c>
    </row>
    <row r="163" spans="1:5" ht="16" x14ac:dyDescent="0.2">
      <c r="A163" s="40">
        <v>42984.500694444447</v>
      </c>
      <c r="B163" s="1">
        <v>2462.37</v>
      </c>
      <c r="C163" s="41">
        <v>2461.5</v>
      </c>
      <c r="D163" s="38">
        <f t="shared" si="2"/>
        <v>-0.86999999999989086</v>
      </c>
      <c r="E163" s="39">
        <v>-0.89</v>
      </c>
    </row>
    <row r="164" spans="1:5" ht="16" x14ac:dyDescent="0.2">
      <c r="A164" s="40">
        <v>42984.501388888886</v>
      </c>
      <c r="B164" s="1">
        <v>2462.25</v>
      </c>
      <c r="C164" s="41">
        <v>2461.5</v>
      </c>
      <c r="D164" s="38">
        <f t="shared" si="2"/>
        <v>-0.75</v>
      </c>
      <c r="E164" s="39">
        <v>-0.82</v>
      </c>
    </row>
    <row r="165" spans="1:5" ht="16" x14ac:dyDescent="0.2">
      <c r="A165" s="40">
        <v>42984.502083333333</v>
      </c>
      <c r="B165" s="1">
        <v>2461.77</v>
      </c>
      <c r="C165" s="41">
        <v>2461.5</v>
      </c>
      <c r="D165" s="38">
        <f t="shared" si="2"/>
        <v>-0.26999999999998181</v>
      </c>
      <c r="E165" s="39">
        <v>-0.26</v>
      </c>
    </row>
    <row r="166" spans="1:5" ht="16" x14ac:dyDescent="0.2">
      <c r="A166" s="40">
        <v>42984.50277777778</v>
      </c>
      <c r="B166" s="1">
        <v>2461.65</v>
      </c>
      <c r="C166" s="41">
        <v>2460.5</v>
      </c>
      <c r="D166" s="38">
        <f t="shared" si="2"/>
        <v>-1.1500000000000909</v>
      </c>
      <c r="E166" s="39">
        <v>-0.83</v>
      </c>
    </row>
    <row r="167" spans="1:5" ht="16" x14ac:dyDescent="0.2">
      <c r="A167" s="40">
        <v>42984.503472222219</v>
      </c>
      <c r="B167" s="1">
        <v>2462</v>
      </c>
      <c r="C167" s="41">
        <v>2460.5</v>
      </c>
      <c r="D167" s="38">
        <f t="shared" si="2"/>
        <v>-1.5</v>
      </c>
      <c r="E167" s="39">
        <v>-1.4</v>
      </c>
    </row>
    <row r="168" spans="1:5" ht="16" x14ac:dyDescent="0.2">
      <c r="A168" s="40">
        <v>42984.504166666666</v>
      </c>
      <c r="B168" s="1">
        <v>2461.89</v>
      </c>
      <c r="C168" s="41">
        <v>2461.1999999999998</v>
      </c>
      <c r="D168" s="38">
        <f t="shared" si="2"/>
        <v>-0.69000000000005457</v>
      </c>
      <c r="E168" s="39">
        <v>-0.74</v>
      </c>
    </row>
    <row r="169" spans="1:5" ht="16" x14ac:dyDescent="0.2">
      <c r="A169" s="40">
        <v>42984.504861111112</v>
      </c>
      <c r="B169" s="1">
        <v>2461.96</v>
      </c>
      <c r="C169" s="41">
        <v>2461.1999999999998</v>
      </c>
      <c r="D169" s="38">
        <f t="shared" si="2"/>
        <v>-0.76000000000021828</v>
      </c>
      <c r="E169" s="39">
        <v>-0.85</v>
      </c>
    </row>
    <row r="170" spans="1:5" ht="16" x14ac:dyDescent="0.2">
      <c r="A170" s="40">
        <v>42984.505555555559</v>
      </c>
      <c r="B170" s="1">
        <v>2461.94</v>
      </c>
      <c r="C170" s="41">
        <v>2461</v>
      </c>
      <c r="D170" s="38">
        <f t="shared" si="2"/>
        <v>-0.94000000000005457</v>
      </c>
      <c r="E170" s="39">
        <v>-1</v>
      </c>
    </row>
    <row r="171" spans="1:5" ht="16" x14ac:dyDescent="0.2">
      <c r="A171" s="40">
        <v>42984.506249999999</v>
      </c>
      <c r="B171" s="1">
        <v>2461.71</v>
      </c>
      <c r="C171" s="41">
        <v>2461</v>
      </c>
      <c r="D171" s="38">
        <f t="shared" si="2"/>
        <v>-0.71000000000003638</v>
      </c>
      <c r="E171" s="39">
        <v>-0.79</v>
      </c>
    </row>
    <row r="172" spans="1:5" ht="16" x14ac:dyDescent="0.2">
      <c r="A172" s="40">
        <v>42984.506944444445</v>
      </c>
      <c r="B172" s="1">
        <v>2461.86</v>
      </c>
      <c r="C172" s="41">
        <v>2461</v>
      </c>
      <c r="D172" s="38">
        <f t="shared" si="2"/>
        <v>-0.86000000000012733</v>
      </c>
      <c r="E172" s="39">
        <v>-0.87</v>
      </c>
    </row>
    <row r="173" spans="1:5" ht="16" x14ac:dyDescent="0.2">
      <c r="A173" s="40">
        <v>42984.507638888892</v>
      </c>
      <c r="B173" s="1">
        <v>2462.1</v>
      </c>
      <c r="C173" s="41">
        <v>2461</v>
      </c>
      <c r="D173" s="38">
        <f t="shared" si="2"/>
        <v>-1.0999999999999091</v>
      </c>
      <c r="E173" s="39">
        <v>-1.1100000000000001</v>
      </c>
    </row>
    <row r="174" spans="1:5" ht="16" x14ac:dyDescent="0.2">
      <c r="A174" s="40">
        <v>42984.508333333331</v>
      </c>
      <c r="B174" s="1">
        <v>2461.9299999999998</v>
      </c>
      <c r="C174" s="41">
        <v>2461</v>
      </c>
      <c r="D174" s="38">
        <f t="shared" si="2"/>
        <v>-0.92999999999983629</v>
      </c>
      <c r="E174" s="39">
        <v>-0.91</v>
      </c>
    </row>
    <row r="175" spans="1:5" ht="16" x14ac:dyDescent="0.2">
      <c r="A175" s="40">
        <v>42984.509027777778</v>
      </c>
      <c r="B175" s="1">
        <v>2462.1799999999998</v>
      </c>
      <c r="C175" s="41">
        <v>2461</v>
      </c>
      <c r="D175" s="38">
        <f t="shared" si="2"/>
        <v>-1.1799999999998363</v>
      </c>
      <c r="E175" s="39">
        <v>-1.1100000000000001</v>
      </c>
    </row>
    <row r="176" spans="1:5" ht="16" x14ac:dyDescent="0.2">
      <c r="A176" s="40">
        <v>42984.509722222225</v>
      </c>
      <c r="B176" s="1">
        <v>2462.7800000000002</v>
      </c>
      <c r="C176" s="41">
        <v>2462</v>
      </c>
      <c r="D176" s="38">
        <f t="shared" si="2"/>
        <v>-0.78000000000020009</v>
      </c>
      <c r="E176" s="39">
        <v>-0.77</v>
      </c>
    </row>
    <row r="177" spans="1:5" ht="16" x14ac:dyDescent="0.2">
      <c r="A177" s="40">
        <v>42984.510416666664</v>
      </c>
      <c r="B177" s="1">
        <v>2462.8000000000002</v>
      </c>
      <c r="C177" s="41">
        <v>2462</v>
      </c>
      <c r="D177" s="38">
        <f t="shared" si="2"/>
        <v>-0.8000000000001819</v>
      </c>
      <c r="E177" s="39">
        <v>-0.79</v>
      </c>
    </row>
    <row r="178" spans="1:5" ht="16" x14ac:dyDescent="0.2">
      <c r="A178" s="40">
        <v>42984.511111111111</v>
      </c>
      <c r="B178" s="1">
        <v>2462.3000000000002</v>
      </c>
      <c r="C178" s="41">
        <v>2461.5</v>
      </c>
      <c r="D178" s="38">
        <f t="shared" si="2"/>
        <v>-0.8000000000001819</v>
      </c>
      <c r="E178" s="39">
        <v>-1</v>
      </c>
    </row>
    <row r="179" spans="1:5" ht="16" x14ac:dyDescent="0.2">
      <c r="A179" s="40">
        <v>42984.511805555558</v>
      </c>
      <c r="B179" s="1">
        <v>2462.98</v>
      </c>
      <c r="C179" s="41">
        <v>2462</v>
      </c>
      <c r="D179" s="38">
        <f t="shared" si="2"/>
        <v>-0.98000000000001819</v>
      </c>
      <c r="E179" s="39">
        <v>-1.29</v>
      </c>
    </row>
    <row r="180" spans="1:5" ht="16" x14ac:dyDescent="0.2">
      <c r="A180" s="40">
        <v>42984.512499999997</v>
      </c>
      <c r="B180" s="1">
        <v>2463.35</v>
      </c>
      <c r="C180" s="41">
        <v>2462.5</v>
      </c>
      <c r="D180" s="38">
        <f t="shared" si="2"/>
        <v>-0.84999999999990905</v>
      </c>
      <c r="E180" s="39">
        <v>-1.02</v>
      </c>
    </row>
    <row r="181" spans="1:5" ht="16" x14ac:dyDescent="0.2">
      <c r="A181" s="40">
        <v>42984.513194444444</v>
      </c>
      <c r="B181" s="1">
        <v>2463.63</v>
      </c>
      <c r="C181" s="41">
        <v>2463</v>
      </c>
      <c r="D181" s="38">
        <f t="shared" si="2"/>
        <v>-0.63000000000010914</v>
      </c>
      <c r="E181" s="39">
        <v>-0.47</v>
      </c>
    </row>
    <row r="182" spans="1:5" ht="16" x14ac:dyDescent="0.2">
      <c r="A182" s="40">
        <v>42984.513888888891</v>
      </c>
      <c r="B182" s="1">
        <v>2463.61</v>
      </c>
      <c r="C182" s="41">
        <v>2463</v>
      </c>
      <c r="D182" s="38">
        <f t="shared" si="2"/>
        <v>-0.61000000000012733</v>
      </c>
      <c r="E182" s="39">
        <v>-0.98</v>
      </c>
    </row>
    <row r="183" spans="1:5" ht="16" x14ac:dyDescent="0.2">
      <c r="A183" s="40">
        <v>42984.51458333333</v>
      </c>
      <c r="B183" s="1">
        <v>2463.04</v>
      </c>
      <c r="C183" s="41">
        <v>2462.5</v>
      </c>
      <c r="D183" s="38">
        <f t="shared" si="2"/>
        <v>-0.53999999999996362</v>
      </c>
      <c r="E183" s="39">
        <v>-0.56999999999999995</v>
      </c>
    </row>
    <row r="184" spans="1:5" ht="16" x14ac:dyDescent="0.2">
      <c r="A184" s="40">
        <v>42984.515277777777</v>
      </c>
      <c r="B184" s="1">
        <v>2463</v>
      </c>
      <c r="C184" s="41">
        <v>2462.5</v>
      </c>
      <c r="D184" s="38">
        <f t="shared" si="2"/>
        <v>-0.5</v>
      </c>
      <c r="E184" s="39">
        <v>-0.51</v>
      </c>
    </row>
    <row r="185" spans="1:5" ht="16" x14ac:dyDescent="0.2">
      <c r="A185" s="40">
        <v>42984.515972222223</v>
      </c>
      <c r="B185" s="1">
        <v>2462.86</v>
      </c>
      <c r="C185" s="41">
        <v>2462</v>
      </c>
      <c r="D185" s="38">
        <f t="shared" si="2"/>
        <v>-0.86000000000012733</v>
      </c>
      <c r="E185" s="39">
        <v>-0.62</v>
      </c>
    </row>
    <row r="186" spans="1:5" ht="16" x14ac:dyDescent="0.2">
      <c r="A186" s="40">
        <v>42984.51666666667</v>
      </c>
      <c r="B186" s="1">
        <v>2462.9899999999998</v>
      </c>
      <c r="C186" s="41">
        <v>2462.5</v>
      </c>
      <c r="D186" s="38">
        <f t="shared" si="2"/>
        <v>-0.48999999999978172</v>
      </c>
      <c r="E186" s="39">
        <v>-0.4</v>
      </c>
    </row>
    <row r="187" spans="1:5" ht="16" x14ac:dyDescent="0.2">
      <c r="A187" s="40">
        <v>42984.517361111109</v>
      </c>
      <c r="B187" s="1">
        <v>2463.0500000000002</v>
      </c>
      <c r="C187" s="41">
        <v>2462.5</v>
      </c>
      <c r="D187" s="38">
        <f t="shared" si="2"/>
        <v>-0.5500000000001819</v>
      </c>
      <c r="E187" s="39">
        <v>-0.55000000000000004</v>
      </c>
    </row>
    <row r="188" spans="1:5" ht="16" x14ac:dyDescent="0.2">
      <c r="A188" s="40">
        <v>42984.518055555556</v>
      </c>
      <c r="B188" s="1">
        <v>2463.6999999999998</v>
      </c>
      <c r="C188" s="41">
        <v>2462.5</v>
      </c>
      <c r="D188" s="38">
        <f t="shared" si="2"/>
        <v>-1.1999999999998181</v>
      </c>
      <c r="E188" s="39">
        <v>-1.08</v>
      </c>
    </row>
    <row r="189" spans="1:5" ht="16" x14ac:dyDescent="0.2">
      <c r="A189" s="40">
        <v>42984.518750000003</v>
      </c>
      <c r="B189" s="1">
        <v>2464.11</v>
      </c>
      <c r="C189" s="41">
        <v>2463.5</v>
      </c>
      <c r="D189" s="38">
        <f t="shared" si="2"/>
        <v>-0.61000000000012733</v>
      </c>
      <c r="E189" s="39">
        <v>-0.68</v>
      </c>
    </row>
    <row r="190" spans="1:5" ht="16" x14ac:dyDescent="0.2">
      <c r="A190" s="40">
        <v>42984.519444444442</v>
      </c>
      <c r="B190" s="1">
        <v>2463.9699999999998</v>
      </c>
      <c r="C190" s="41">
        <v>2463.5</v>
      </c>
      <c r="D190" s="38">
        <f t="shared" si="2"/>
        <v>-0.46999999999979991</v>
      </c>
      <c r="E190" s="39">
        <v>-0.59</v>
      </c>
    </row>
    <row r="191" spans="1:5" ht="16" x14ac:dyDescent="0.2">
      <c r="A191" s="40">
        <v>42984.520138888889</v>
      </c>
      <c r="B191" s="1">
        <v>2463.91</v>
      </c>
      <c r="C191" s="41">
        <v>2463.5</v>
      </c>
      <c r="D191" s="38">
        <f t="shared" si="2"/>
        <v>-0.40999999999985448</v>
      </c>
      <c r="E191" s="39">
        <v>-0.42</v>
      </c>
    </row>
    <row r="192" spans="1:5" ht="16" x14ac:dyDescent="0.2">
      <c r="A192" s="40">
        <v>42984.520833333336</v>
      </c>
      <c r="B192" s="1">
        <v>2463.62</v>
      </c>
      <c r="C192" s="41">
        <v>2463</v>
      </c>
      <c r="D192" s="38">
        <f t="shared" si="2"/>
        <v>-0.61999999999989086</v>
      </c>
      <c r="E192" s="39">
        <v>-0.63</v>
      </c>
    </row>
    <row r="193" spans="1:5" ht="16" x14ac:dyDescent="0.2">
      <c r="A193" s="40">
        <v>42984.521527777775</v>
      </c>
      <c r="B193" s="1">
        <v>2463.21</v>
      </c>
      <c r="C193" s="41">
        <v>2463</v>
      </c>
      <c r="D193" s="38">
        <f t="shared" si="2"/>
        <v>-0.21000000000003638</v>
      </c>
      <c r="E193" s="39">
        <v>-0.28999999999999998</v>
      </c>
    </row>
    <row r="194" spans="1:5" ht="16" x14ac:dyDescent="0.2">
      <c r="A194" s="40">
        <v>42984.522222222222</v>
      </c>
      <c r="B194" s="1">
        <v>2462.87</v>
      </c>
      <c r="C194" s="41">
        <v>2462</v>
      </c>
      <c r="D194" s="38">
        <f t="shared" si="2"/>
        <v>-0.86999999999989086</v>
      </c>
      <c r="E194" s="39">
        <v>-0.88</v>
      </c>
    </row>
    <row r="195" spans="1:5" ht="16" x14ac:dyDescent="0.2">
      <c r="A195" s="40">
        <v>42984.522916666669</v>
      </c>
      <c r="B195" s="1">
        <v>2463.15</v>
      </c>
      <c r="C195" s="41">
        <v>2462</v>
      </c>
      <c r="D195" s="38">
        <f t="shared" si="2"/>
        <v>-1.1500000000000909</v>
      </c>
      <c r="E195" s="39">
        <v>-1.1200000000000001</v>
      </c>
    </row>
    <row r="196" spans="1:5" ht="16" x14ac:dyDescent="0.2">
      <c r="A196" s="40">
        <v>42984.523611111108</v>
      </c>
      <c r="B196" s="1">
        <v>2463.1799999999998</v>
      </c>
      <c r="C196" s="41">
        <v>2462</v>
      </c>
      <c r="D196" s="38">
        <f t="shared" si="2"/>
        <v>-1.1799999999998363</v>
      </c>
      <c r="E196" s="39">
        <v>-1.1399999999999999</v>
      </c>
    </row>
    <row r="197" spans="1:5" ht="16" x14ac:dyDescent="0.2">
      <c r="A197" s="40">
        <v>42984.524305555555</v>
      </c>
      <c r="B197" s="1">
        <v>2463.0100000000002</v>
      </c>
      <c r="C197" s="41">
        <v>2462</v>
      </c>
      <c r="D197" s="38">
        <f t="shared" si="2"/>
        <v>-1.0100000000002183</v>
      </c>
      <c r="E197" s="39">
        <v>-1.06</v>
      </c>
    </row>
    <row r="198" spans="1:5" ht="16" x14ac:dyDescent="0.2">
      <c r="A198" s="40">
        <v>42984.525000000001</v>
      </c>
      <c r="B198" s="1">
        <v>2462.94</v>
      </c>
      <c r="C198" s="41">
        <v>2462</v>
      </c>
      <c r="D198" s="38">
        <f t="shared" si="2"/>
        <v>-0.94000000000005457</v>
      </c>
      <c r="E198" s="39">
        <v>-1.06</v>
      </c>
    </row>
    <row r="199" spans="1:5" ht="16" x14ac:dyDescent="0.2">
      <c r="A199" s="40">
        <v>42984.525694444441</v>
      </c>
      <c r="B199" s="1">
        <v>2463.5500000000002</v>
      </c>
      <c r="C199" s="41">
        <v>2462.1999999999998</v>
      </c>
      <c r="D199" s="38">
        <f t="shared" si="2"/>
        <v>-1.3500000000003638</v>
      </c>
      <c r="E199" s="39">
        <v>-1.21</v>
      </c>
    </row>
    <row r="200" spans="1:5" ht="16" x14ac:dyDescent="0.2">
      <c r="A200" s="40">
        <v>42984.526388888888</v>
      </c>
      <c r="B200" s="1">
        <v>2463.35</v>
      </c>
      <c r="C200" s="41">
        <v>2462.5</v>
      </c>
      <c r="D200" s="38">
        <f t="shared" si="2"/>
        <v>-0.84999999999990905</v>
      </c>
      <c r="E200" s="39">
        <v>-0.94</v>
      </c>
    </row>
    <row r="201" spans="1:5" ht="16" x14ac:dyDescent="0.2">
      <c r="A201" s="40">
        <v>42984.527083333334</v>
      </c>
      <c r="B201" s="1">
        <v>2463.48</v>
      </c>
      <c r="C201" s="41">
        <v>2462.5</v>
      </c>
      <c r="D201" s="38">
        <f t="shared" si="2"/>
        <v>-0.98000000000001819</v>
      </c>
      <c r="E201" s="39">
        <v>-0.85</v>
      </c>
    </row>
    <row r="202" spans="1:5" ht="16" x14ac:dyDescent="0.2">
      <c r="A202" s="40">
        <v>42984.527777777781</v>
      </c>
      <c r="B202" s="1">
        <v>2463.29</v>
      </c>
      <c r="C202" s="41">
        <v>2462.5</v>
      </c>
      <c r="D202" s="38">
        <f t="shared" si="2"/>
        <v>-0.78999999999996362</v>
      </c>
      <c r="E202" s="39">
        <v>-0.83</v>
      </c>
    </row>
    <row r="203" spans="1:5" ht="16" x14ac:dyDescent="0.2">
      <c r="A203" s="40">
        <v>42984.52847222222</v>
      </c>
      <c r="B203" s="1">
        <v>2463.65</v>
      </c>
      <c r="C203" s="41">
        <v>2462.5</v>
      </c>
      <c r="D203" s="38">
        <f t="shared" si="2"/>
        <v>-1.1500000000000909</v>
      </c>
      <c r="E203" s="39">
        <v>-1.0900000000000001</v>
      </c>
    </row>
    <row r="204" spans="1:5" ht="16" x14ac:dyDescent="0.2">
      <c r="A204" s="40">
        <v>42984.529166666667</v>
      </c>
      <c r="B204" s="1">
        <v>2463.87</v>
      </c>
      <c r="C204" s="41">
        <v>2463</v>
      </c>
      <c r="D204" s="38">
        <f t="shared" si="2"/>
        <v>-0.86999999999989086</v>
      </c>
      <c r="E204" s="39">
        <v>-0.84</v>
      </c>
    </row>
    <row r="205" spans="1:5" ht="16" x14ac:dyDescent="0.2">
      <c r="A205" s="40">
        <v>42984.529861111114</v>
      </c>
      <c r="B205" s="1">
        <v>2463.79</v>
      </c>
      <c r="C205" s="41">
        <v>2463</v>
      </c>
      <c r="D205" s="38">
        <f t="shared" ref="D205:D268" si="3">IF(OR(C205="",B205=""),"",C205-B205)</f>
        <v>-0.78999999999996362</v>
      </c>
      <c r="E205" s="39">
        <v>-0.76</v>
      </c>
    </row>
    <row r="206" spans="1:5" ht="16" x14ac:dyDescent="0.2">
      <c r="A206" s="40">
        <v>42984.530555555553</v>
      </c>
      <c r="B206" s="1">
        <v>2463.64</v>
      </c>
      <c r="C206" s="41">
        <v>2463</v>
      </c>
      <c r="D206" s="38">
        <f t="shared" si="3"/>
        <v>-0.63999999999987267</v>
      </c>
      <c r="E206" s="39">
        <v>-0.62</v>
      </c>
    </row>
    <row r="207" spans="1:5" ht="16" x14ac:dyDescent="0.2">
      <c r="A207" s="40">
        <v>42984.53125</v>
      </c>
      <c r="B207" s="1">
        <v>2463.73</v>
      </c>
      <c r="C207" s="41">
        <v>2463</v>
      </c>
      <c r="D207" s="38">
        <f t="shared" si="3"/>
        <v>-0.73000000000001819</v>
      </c>
      <c r="E207" s="39">
        <v>-0.69</v>
      </c>
    </row>
    <row r="208" spans="1:5" ht="16" x14ac:dyDescent="0.2">
      <c r="A208" s="40">
        <v>42984.531944444447</v>
      </c>
      <c r="B208" s="1">
        <v>2464.08</v>
      </c>
      <c r="C208" s="41">
        <v>2463</v>
      </c>
      <c r="D208" s="38">
        <f t="shared" si="3"/>
        <v>-1.0799999999999272</v>
      </c>
      <c r="E208" s="39">
        <v>-1.1200000000000001</v>
      </c>
    </row>
    <row r="209" spans="1:5" ht="16" x14ac:dyDescent="0.2">
      <c r="A209" s="40">
        <v>42984.532638888886</v>
      </c>
      <c r="B209" s="1">
        <v>2464.3200000000002</v>
      </c>
      <c r="C209" s="41">
        <v>2463</v>
      </c>
      <c r="D209" s="38">
        <f t="shared" si="3"/>
        <v>-1.3200000000001637</v>
      </c>
      <c r="E209" s="39">
        <v>-0.81</v>
      </c>
    </row>
    <row r="210" spans="1:5" ht="16" x14ac:dyDescent="0.2">
      <c r="A210" s="40">
        <v>42984.533333333333</v>
      </c>
      <c r="B210" s="1">
        <v>2464</v>
      </c>
      <c r="C210" s="41">
        <v>2463</v>
      </c>
      <c r="D210" s="38">
        <f t="shared" si="3"/>
        <v>-1</v>
      </c>
      <c r="E210" s="39">
        <v>-1</v>
      </c>
    </row>
    <row r="211" spans="1:5" ht="16" x14ac:dyDescent="0.2">
      <c r="A211" s="40">
        <v>42984.53402777778</v>
      </c>
      <c r="B211" s="1">
        <v>2463.96</v>
      </c>
      <c r="C211" s="41">
        <v>2463</v>
      </c>
      <c r="D211" s="38">
        <f t="shared" si="3"/>
        <v>-0.96000000000003638</v>
      </c>
      <c r="E211" s="39">
        <v>-0.88</v>
      </c>
    </row>
    <row r="212" spans="1:5" ht="16" x14ac:dyDescent="0.2">
      <c r="A212" s="40">
        <v>42984.534722222219</v>
      </c>
      <c r="B212" s="1">
        <v>2464.59</v>
      </c>
      <c r="C212" s="41">
        <v>2463</v>
      </c>
      <c r="D212" s="38">
        <f t="shared" si="3"/>
        <v>-1.5900000000001455</v>
      </c>
      <c r="E212" s="39">
        <v>-1.44</v>
      </c>
    </row>
    <row r="213" spans="1:5" ht="16" x14ac:dyDescent="0.2">
      <c r="A213" s="40">
        <v>42984.535416666666</v>
      </c>
      <c r="B213" s="1">
        <v>2464.8200000000002</v>
      </c>
      <c r="C213" s="41">
        <v>2463</v>
      </c>
      <c r="D213" s="38">
        <f t="shared" si="3"/>
        <v>-1.8200000000001637</v>
      </c>
      <c r="E213" s="39">
        <v>-1.74</v>
      </c>
    </row>
    <row r="214" spans="1:5" ht="16" x14ac:dyDescent="0.2">
      <c r="A214" s="40">
        <v>42984.536111111112</v>
      </c>
      <c r="B214" s="1">
        <v>2464.65</v>
      </c>
      <c r="C214" s="41">
        <v>2463.5</v>
      </c>
      <c r="D214" s="38">
        <f t="shared" si="3"/>
        <v>-1.1500000000000909</v>
      </c>
      <c r="E214" s="39">
        <v>-1.0900000000000001</v>
      </c>
    </row>
    <row r="215" spans="1:5" ht="16" x14ac:dyDescent="0.2">
      <c r="A215" s="40">
        <v>42984.536805555559</v>
      </c>
      <c r="B215" s="1">
        <v>2464.64</v>
      </c>
      <c r="C215" s="41">
        <v>2463.5</v>
      </c>
      <c r="D215" s="38">
        <f t="shared" si="3"/>
        <v>-1.1399999999998727</v>
      </c>
      <c r="E215" s="39">
        <v>-1.06</v>
      </c>
    </row>
    <row r="216" spans="1:5" ht="16" x14ac:dyDescent="0.2">
      <c r="A216" s="40">
        <v>42984.537499999999</v>
      </c>
      <c r="B216" s="1">
        <v>2464.89</v>
      </c>
      <c r="C216" s="41">
        <v>2463.5</v>
      </c>
      <c r="D216" s="38">
        <f t="shared" si="3"/>
        <v>-1.3899999999998727</v>
      </c>
      <c r="E216" s="39">
        <v>-1.42</v>
      </c>
    </row>
    <row r="217" spans="1:5" ht="16" x14ac:dyDescent="0.2">
      <c r="A217" s="40">
        <v>42984.538194444445</v>
      </c>
      <c r="B217" s="1">
        <v>2464.7600000000002</v>
      </c>
      <c r="C217" s="41">
        <v>2463.5</v>
      </c>
      <c r="D217" s="38">
        <f t="shared" si="3"/>
        <v>-1.2600000000002183</v>
      </c>
      <c r="E217" s="39">
        <v>-1.32</v>
      </c>
    </row>
    <row r="218" spans="1:5" ht="16" x14ac:dyDescent="0.2">
      <c r="A218" s="40">
        <v>42984.538888888892</v>
      </c>
      <c r="B218" s="1">
        <v>2464.5100000000002</v>
      </c>
      <c r="C218" s="41">
        <v>2463.5</v>
      </c>
      <c r="D218" s="38">
        <f t="shared" si="3"/>
        <v>-1.0100000000002183</v>
      </c>
      <c r="E218" s="39">
        <v>-1.05</v>
      </c>
    </row>
    <row r="219" spans="1:5" ht="16" x14ac:dyDescent="0.2">
      <c r="A219" s="40">
        <v>42984.539583333331</v>
      </c>
      <c r="B219" s="1">
        <v>2464.64</v>
      </c>
      <c r="C219" s="41">
        <v>2463.5</v>
      </c>
      <c r="D219" s="38">
        <f t="shared" si="3"/>
        <v>-1.1399999999998727</v>
      </c>
      <c r="E219" s="39">
        <v>-1</v>
      </c>
    </row>
    <row r="220" spans="1:5" ht="16" x14ac:dyDescent="0.2">
      <c r="A220" s="40">
        <v>42984.540277777778</v>
      </c>
      <c r="B220" s="1">
        <v>2464.86</v>
      </c>
      <c r="C220" s="41">
        <v>2464</v>
      </c>
      <c r="D220" s="38">
        <f t="shared" si="3"/>
        <v>-0.86000000000012733</v>
      </c>
      <c r="E220" s="39">
        <v>-1.56</v>
      </c>
    </row>
    <row r="221" spans="1:5" ht="16" x14ac:dyDescent="0.2">
      <c r="A221" s="40">
        <v>42984.540972222225</v>
      </c>
      <c r="B221" s="1">
        <v>2465.2199999999998</v>
      </c>
      <c r="C221" s="41">
        <v>2464</v>
      </c>
      <c r="D221" s="38">
        <f t="shared" si="3"/>
        <v>-1.2199999999997999</v>
      </c>
      <c r="E221" s="39">
        <v>-1.26</v>
      </c>
    </row>
    <row r="222" spans="1:5" ht="16" x14ac:dyDescent="0.2">
      <c r="A222" s="40">
        <v>42984.541666666664</v>
      </c>
      <c r="B222" s="1">
        <v>2465.67</v>
      </c>
      <c r="C222" s="41">
        <v>2464</v>
      </c>
      <c r="D222" s="38">
        <f t="shared" si="3"/>
        <v>-1.6700000000000728</v>
      </c>
      <c r="E222" s="39">
        <v>-1.34</v>
      </c>
    </row>
    <row r="223" spans="1:5" ht="16" x14ac:dyDescent="0.2">
      <c r="A223" s="40">
        <v>42984.542361111111</v>
      </c>
      <c r="B223" s="1">
        <v>2465.83</v>
      </c>
      <c r="C223" s="41">
        <v>2464.5</v>
      </c>
      <c r="D223" s="38">
        <f t="shared" si="3"/>
        <v>-1.3299999999999272</v>
      </c>
      <c r="E223" s="39">
        <v>-1.37</v>
      </c>
    </row>
    <row r="224" spans="1:5" ht="16" x14ac:dyDescent="0.2">
      <c r="A224" s="40">
        <v>42984.543055555558</v>
      </c>
      <c r="B224" s="1">
        <v>2465.84</v>
      </c>
      <c r="C224" s="41">
        <v>2464.5</v>
      </c>
      <c r="D224" s="38">
        <f t="shared" si="3"/>
        <v>-1.3400000000001455</v>
      </c>
      <c r="E224" s="39">
        <v>-1.35</v>
      </c>
    </row>
    <row r="225" spans="1:5" ht="16" x14ac:dyDescent="0.2">
      <c r="A225" s="40">
        <v>42984.543749999997</v>
      </c>
      <c r="B225" s="1">
        <v>2466.21</v>
      </c>
      <c r="C225" s="41">
        <v>2465</v>
      </c>
      <c r="D225" s="38">
        <f t="shared" si="3"/>
        <v>-1.2100000000000364</v>
      </c>
      <c r="E225" s="39">
        <v>-1.72</v>
      </c>
    </row>
    <row r="226" spans="1:5" ht="16" x14ac:dyDescent="0.2">
      <c r="A226" s="40">
        <v>42984.544444444444</v>
      </c>
      <c r="B226" s="1">
        <v>2466.31</v>
      </c>
      <c r="C226" s="41">
        <v>2465</v>
      </c>
      <c r="D226" s="38">
        <f t="shared" si="3"/>
        <v>-1.3099999999999454</v>
      </c>
      <c r="E226" s="39">
        <v>-1.28</v>
      </c>
    </row>
    <row r="227" spans="1:5" ht="16" x14ac:dyDescent="0.2">
      <c r="A227" s="40">
        <v>42984.545138888891</v>
      </c>
      <c r="B227" s="1">
        <v>2466.6799999999998</v>
      </c>
      <c r="C227" s="41">
        <v>2465</v>
      </c>
      <c r="D227" s="38">
        <f t="shared" si="3"/>
        <v>-1.6799999999998363</v>
      </c>
      <c r="E227" s="39">
        <v>-1.58</v>
      </c>
    </row>
    <row r="228" spans="1:5" ht="16" x14ac:dyDescent="0.2">
      <c r="A228" s="40">
        <v>42984.54583333333</v>
      </c>
      <c r="B228" s="1">
        <v>2466.71</v>
      </c>
      <c r="C228" s="41">
        <v>2465</v>
      </c>
      <c r="D228" s="38">
        <f t="shared" si="3"/>
        <v>-1.7100000000000364</v>
      </c>
      <c r="E228" s="39">
        <v>-1.66</v>
      </c>
    </row>
    <row r="229" spans="1:5" ht="16" x14ac:dyDescent="0.2">
      <c r="A229" s="40">
        <v>42984.546527777777</v>
      </c>
      <c r="B229" s="1">
        <v>2466.38</v>
      </c>
      <c r="C229" s="41">
        <v>2465</v>
      </c>
      <c r="D229" s="38">
        <f t="shared" si="3"/>
        <v>-1.3800000000001091</v>
      </c>
      <c r="E229" s="39">
        <v>-1.48</v>
      </c>
    </row>
    <row r="230" spans="1:5" ht="16" x14ac:dyDescent="0.2">
      <c r="A230" s="40">
        <v>42984.547222222223</v>
      </c>
      <c r="B230" s="1">
        <v>2466.23</v>
      </c>
      <c r="C230" s="41">
        <v>2465</v>
      </c>
      <c r="D230" s="38">
        <f t="shared" si="3"/>
        <v>-1.2300000000000182</v>
      </c>
      <c r="E230" s="39">
        <v>-1.1200000000000001</v>
      </c>
    </row>
    <row r="231" spans="1:5" ht="16" x14ac:dyDescent="0.2">
      <c r="A231" s="40">
        <v>42984.54791666667</v>
      </c>
      <c r="B231" s="1">
        <v>2466.1</v>
      </c>
      <c r="C231" s="41">
        <v>2465.5</v>
      </c>
      <c r="D231" s="38">
        <f t="shared" si="3"/>
        <v>-0.59999999999990905</v>
      </c>
      <c r="E231" s="39">
        <v>-0.6</v>
      </c>
    </row>
    <row r="232" spans="1:5" ht="16" x14ac:dyDescent="0.2">
      <c r="A232" s="40">
        <v>42984.548611111109</v>
      </c>
      <c r="B232" s="1">
        <v>2466.41</v>
      </c>
      <c r="C232" s="41">
        <v>2465.5</v>
      </c>
      <c r="D232" s="38">
        <f t="shared" si="3"/>
        <v>-0.90999999999985448</v>
      </c>
      <c r="E232" s="39">
        <v>-0.85</v>
      </c>
    </row>
    <row r="233" spans="1:5" ht="16" x14ac:dyDescent="0.2">
      <c r="A233" s="40">
        <v>42984.549305555556</v>
      </c>
      <c r="B233" s="1">
        <v>2466.56</v>
      </c>
      <c r="C233" s="41">
        <v>2465.5</v>
      </c>
      <c r="D233" s="38">
        <f t="shared" si="3"/>
        <v>-1.0599999999999454</v>
      </c>
      <c r="E233" s="39">
        <v>-1.01</v>
      </c>
    </row>
    <row r="234" spans="1:5" ht="16" x14ac:dyDescent="0.2">
      <c r="A234" s="40">
        <v>42984.55</v>
      </c>
      <c r="B234" s="1">
        <v>2467.0500000000002</v>
      </c>
      <c r="C234" s="41">
        <v>2466.5</v>
      </c>
      <c r="D234" s="38">
        <f t="shared" si="3"/>
        <v>-0.5500000000001819</v>
      </c>
      <c r="E234" s="39">
        <v>-1.1200000000000001</v>
      </c>
    </row>
    <row r="235" spans="1:5" ht="16" x14ac:dyDescent="0.2">
      <c r="A235" s="40">
        <v>42984.550694444442</v>
      </c>
      <c r="B235" s="1">
        <v>2466.92</v>
      </c>
      <c r="C235" s="41">
        <v>2466.5</v>
      </c>
      <c r="D235" s="38">
        <f t="shared" si="3"/>
        <v>-0.42000000000007276</v>
      </c>
      <c r="E235" s="39">
        <v>-0.45</v>
      </c>
    </row>
    <row r="236" spans="1:5" ht="16" x14ac:dyDescent="0.2">
      <c r="A236" s="40">
        <v>42984.551388888889</v>
      </c>
      <c r="B236" s="1">
        <v>2466.6999999999998</v>
      </c>
      <c r="C236" s="41">
        <v>2466.5</v>
      </c>
      <c r="D236" s="38">
        <f t="shared" si="3"/>
        <v>-0.1999999999998181</v>
      </c>
      <c r="E236" s="39">
        <v>-0.36</v>
      </c>
    </row>
    <row r="237" spans="1:5" ht="16" x14ac:dyDescent="0.2">
      <c r="A237" s="40">
        <v>42984.552083333336</v>
      </c>
      <c r="B237" s="1">
        <v>2466</v>
      </c>
      <c r="C237" s="41">
        <v>2465.3000000000002</v>
      </c>
      <c r="D237" s="38">
        <f t="shared" si="3"/>
        <v>-0.6999999999998181</v>
      </c>
      <c r="E237" s="39">
        <v>-0.61</v>
      </c>
    </row>
    <row r="238" spans="1:5" ht="16" x14ac:dyDescent="0.2">
      <c r="A238" s="40">
        <v>42984.552777777775</v>
      </c>
      <c r="B238" s="1">
        <v>2466.08</v>
      </c>
      <c r="C238" s="41">
        <v>2465.3000000000002</v>
      </c>
      <c r="D238" s="38">
        <f t="shared" si="3"/>
        <v>-0.77999999999974534</v>
      </c>
      <c r="E238" s="39">
        <v>-0.8</v>
      </c>
    </row>
    <row r="239" spans="1:5" ht="16" x14ac:dyDescent="0.2">
      <c r="A239" s="40">
        <v>42984.553472222222</v>
      </c>
      <c r="B239" s="1">
        <v>2466</v>
      </c>
      <c r="C239" s="41">
        <v>2465.3000000000002</v>
      </c>
      <c r="D239" s="38">
        <f t="shared" si="3"/>
        <v>-0.6999999999998181</v>
      </c>
      <c r="E239" s="39">
        <v>-0.83</v>
      </c>
    </row>
    <row r="240" spans="1:5" ht="16" x14ac:dyDescent="0.2">
      <c r="A240" s="40">
        <v>42984.554166666669</v>
      </c>
      <c r="B240" s="1">
        <v>2466.15</v>
      </c>
      <c r="C240" s="41">
        <v>2465.3000000000002</v>
      </c>
      <c r="D240" s="38">
        <f t="shared" si="3"/>
        <v>-0.84999999999990905</v>
      </c>
      <c r="E240" s="39">
        <v>-0.82</v>
      </c>
    </row>
    <row r="241" spans="1:5" ht="16" x14ac:dyDescent="0.2">
      <c r="A241" s="40">
        <v>42984.554861111108</v>
      </c>
      <c r="B241" s="1">
        <v>2465.98</v>
      </c>
      <c r="C241" s="41">
        <v>2465.3000000000002</v>
      </c>
      <c r="D241" s="38">
        <f t="shared" si="3"/>
        <v>-0.67999999999983629</v>
      </c>
      <c r="E241" s="39">
        <v>-0.59</v>
      </c>
    </row>
    <row r="242" spans="1:5" ht="16" x14ac:dyDescent="0.2">
      <c r="A242" s="40">
        <v>42984.555555555555</v>
      </c>
      <c r="B242" s="1">
        <v>2466.5</v>
      </c>
      <c r="C242" s="41">
        <v>2465.3000000000002</v>
      </c>
      <c r="D242" s="38">
        <f t="shared" si="3"/>
        <v>-1.1999999999998181</v>
      </c>
      <c r="E242" s="39">
        <v>-1.1399999999999999</v>
      </c>
    </row>
    <row r="243" spans="1:5" ht="16" x14ac:dyDescent="0.2">
      <c r="A243" s="40">
        <v>42984.556250000001</v>
      </c>
      <c r="B243" s="1">
        <v>2466.56</v>
      </c>
      <c r="C243" s="41">
        <v>2465.3000000000002</v>
      </c>
      <c r="D243" s="38">
        <f t="shared" si="3"/>
        <v>-1.2599999999997635</v>
      </c>
      <c r="E243" s="39">
        <v>-1.35</v>
      </c>
    </row>
    <row r="244" spans="1:5" ht="16" x14ac:dyDescent="0.2">
      <c r="A244" s="40">
        <v>42984.556944444441</v>
      </c>
      <c r="B244" s="1">
        <v>2466.21</v>
      </c>
      <c r="C244" s="41">
        <v>2465.5</v>
      </c>
      <c r="D244" s="38">
        <f t="shared" si="3"/>
        <v>-0.71000000000003638</v>
      </c>
      <c r="E244" s="39">
        <v>-0.68</v>
      </c>
    </row>
    <row r="245" spans="1:5" ht="16" x14ac:dyDescent="0.2">
      <c r="A245" s="40">
        <v>42984.557638888888</v>
      </c>
      <c r="B245" s="1">
        <v>2465.89</v>
      </c>
      <c r="C245" s="41">
        <v>2465.5</v>
      </c>
      <c r="D245" s="38">
        <f t="shared" si="3"/>
        <v>-0.38999999999987267</v>
      </c>
      <c r="E245" s="39">
        <v>-0.41</v>
      </c>
    </row>
    <row r="246" spans="1:5" ht="16" x14ac:dyDescent="0.2">
      <c r="A246" s="40">
        <v>42984.558333333334</v>
      </c>
      <c r="B246" s="1">
        <v>2465.8200000000002</v>
      </c>
      <c r="C246" s="41">
        <v>2465.5</v>
      </c>
      <c r="D246" s="38">
        <f t="shared" si="3"/>
        <v>-0.32000000000016371</v>
      </c>
      <c r="E246" s="39">
        <v>-0.39</v>
      </c>
    </row>
    <row r="247" spans="1:5" ht="16" x14ac:dyDescent="0.2">
      <c r="A247" s="40">
        <v>42984.559027777781</v>
      </c>
      <c r="B247" s="1">
        <v>2465.4699999999998</v>
      </c>
      <c r="C247" s="41">
        <v>2465</v>
      </c>
      <c r="D247" s="38">
        <f t="shared" si="3"/>
        <v>-0.46999999999979991</v>
      </c>
      <c r="E247" s="39">
        <v>-0.59</v>
      </c>
    </row>
    <row r="248" spans="1:5" ht="16" x14ac:dyDescent="0.2">
      <c r="A248" s="40">
        <v>42984.55972222222</v>
      </c>
      <c r="B248" s="1">
        <v>2465.4</v>
      </c>
      <c r="C248" s="41">
        <v>2464.5</v>
      </c>
      <c r="D248" s="38">
        <f t="shared" si="3"/>
        <v>-0.90000000000009095</v>
      </c>
      <c r="E248" s="39">
        <v>-0.44</v>
      </c>
    </row>
    <row r="249" spans="1:5" ht="16" x14ac:dyDescent="0.2">
      <c r="A249" s="40">
        <v>42984.560416666667</v>
      </c>
      <c r="B249" s="1">
        <v>2465.62</v>
      </c>
      <c r="C249" s="41">
        <v>2464.5</v>
      </c>
      <c r="D249" s="38">
        <f t="shared" si="3"/>
        <v>-1.1199999999998909</v>
      </c>
      <c r="E249" s="39">
        <v>-1.04</v>
      </c>
    </row>
    <row r="250" spans="1:5" ht="16" x14ac:dyDescent="0.2">
      <c r="A250" s="40">
        <v>42984.561111111114</v>
      </c>
      <c r="B250" s="1">
        <v>2465.69</v>
      </c>
      <c r="C250" s="41">
        <v>2465</v>
      </c>
      <c r="D250" s="38">
        <f t="shared" si="3"/>
        <v>-0.69000000000005457</v>
      </c>
      <c r="E250" s="39">
        <v>-0.73</v>
      </c>
    </row>
    <row r="251" spans="1:5" ht="16" x14ac:dyDescent="0.2">
      <c r="A251" s="40">
        <v>42984.561805555553</v>
      </c>
      <c r="B251" s="1">
        <v>2465.5100000000002</v>
      </c>
      <c r="C251" s="41">
        <v>2465</v>
      </c>
      <c r="D251" s="38">
        <f t="shared" si="3"/>
        <v>-0.51000000000021828</v>
      </c>
      <c r="E251" s="39">
        <v>-0.56999999999999995</v>
      </c>
    </row>
    <row r="252" spans="1:5" ht="16" x14ac:dyDescent="0.2">
      <c r="A252" s="40">
        <v>42984.5625</v>
      </c>
      <c r="B252" s="1">
        <v>2466.23</v>
      </c>
      <c r="C252" s="41">
        <v>2465</v>
      </c>
      <c r="D252" s="38">
        <f t="shared" si="3"/>
        <v>-1.2300000000000182</v>
      </c>
      <c r="E252" s="39">
        <v>-1.19</v>
      </c>
    </row>
    <row r="253" spans="1:5" ht="16" x14ac:dyDescent="0.2">
      <c r="A253" s="40">
        <v>42984.563194444447</v>
      </c>
      <c r="B253" s="1">
        <v>2466.12</v>
      </c>
      <c r="C253" s="41">
        <v>2465</v>
      </c>
      <c r="D253" s="38">
        <f t="shared" si="3"/>
        <v>-1.1199999999998909</v>
      </c>
      <c r="E253" s="39">
        <v>-1.1000000000000001</v>
      </c>
    </row>
    <row r="254" spans="1:5" ht="16" x14ac:dyDescent="0.2">
      <c r="A254" s="40">
        <v>42984.563888888886</v>
      </c>
      <c r="B254" s="1">
        <v>2466.0500000000002</v>
      </c>
      <c r="C254" s="41">
        <v>2465</v>
      </c>
      <c r="D254" s="38">
        <f t="shared" si="3"/>
        <v>-1.0500000000001819</v>
      </c>
      <c r="E254" s="39">
        <v>-1.05</v>
      </c>
    </row>
    <row r="255" spans="1:5" ht="16" x14ac:dyDescent="0.2">
      <c r="A255" s="40">
        <v>42984.564583333333</v>
      </c>
      <c r="B255" s="1">
        <v>2465.65</v>
      </c>
      <c r="C255" s="41">
        <v>2465</v>
      </c>
      <c r="D255" s="38">
        <f t="shared" si="3"/>
        <v>-0.65000000000009095</v>
      </c>
      <c r="E255" s="39">
        <v>-0.74</v>
      </c>
    </row>
    <row r="256" spans="1:5" ht="16" x14ac:dyDescent="0.2">
      <c r="A256" s="40">
        <v>42984.56527777778</v>
      </c>
      <c r="B256" s="1">
        <v>2465.9299999999998</v>
      </c>
      <c r="C256" s="41">
        <v>2465</v>
      </c>
      <c r="D256" s="38">
        <f t="shared" si="3"/>
        <v>-0.92999999999983629</v>
      </c>
      <c r="E256" s="39">
        <v>-0.93</v>
      </c>
    </row>
    <row r="257" spans="1:5" ht="16" x14ac:dyDescent="0.2">
      <c r="A257" s="40">
        <v>42984.565972222219</v>
      </c>
      <c r="B257" s="1">
        <v>2465.6999999999998</v>
      </c>
      <c r="C257" s="41">
        <v>2465</v>
      </c>
      <c r="D257" s="38">
        <f t="shared" si="3"/>
        <v>-0.6999999999998181</v>
      </c>
      <c r="E257" s="39">
        <v>-0.69</v>
      </c>
    </row>
    <row r="258" spans="1:5" ht="16" x14ac:dyDescent="0.2">
      <c r="A258" s="40">
        <v>42984.566666666666</v>
      </c>
      <c r="B258" s="1">
        <v>2466.15</v>
      </c>
      <c r="C258" s="41">
        <v>2465</v>
      </c>
      <c r="D258" s="38">
        <f t="shared" si="3"/>
        <v>-1.1500000000000909</v>
      </c>
      <c r="E258" s="39">
        <v>-0.98</v>
      </c>
    </row>
    <row r="259" spans="1:5" ht="16" x14ac:dyDescent="0.2">
      <c r="A259" s="40">
        <v>42984.567361111112</v>
      </c>
      <c r="B259" s="1">
        <v>2466.44</v>
      </c>
      <c r="C259" s="41">
        <v>2465.6999999999998</v>
      </c>
      <c r="D259" s="38">
        <f t="shared" si="3"/>
        <v>-0.74000000000023647</v>
      </c>
      <c r="E259" s="39">
        <v>-1.06</v>
      </c>
    </row>
    <row r="260" spans="1:5" ht="16" x14ac:dyDescent="0.2">
      <c r="A260" s="40">
        <v>42984.568055555559</v>
      </c>
      <c r="B260" s="1">
        <v>2466.31</v>
      </c>
      <c r="C260" s="41">
        <v>2465.6999999999998</v>
      </c>
      <c r="D260" s="38">
        <f t="shared" si="3"/>
        <v>-0.61000000000012733</v>
      </c>
      <c r="E260" s="39">
        <v>-0.56999999999999995</v>
      </c>
    </row>
    <row r="261" spans="1:5" ht="16" x14ac:dyDescent="0.2">
      <c r="A261" s="40">
        <v>42984.568749999999</v>
      </c>
      <c r="B261" s="1">
        <v>2466.48</v>
      </c>
      <c r="C261" s="41">
        <v>2465.6999999999998</v>
      </c>
      <c r="D261" s="38">
        <f t="shared" si="3"/>
        <v>-0.78000000000020009</v>
      </c>
      <c r="E261" s="39">
        <v>-0.79</v>
      </c>
    </row>
    <row r="262" spans="1:5" ht="16" x14ac:dyDescent="0.2">
      <c r="A262" s="40">
        <v>42984.569444444445</v>
      </c>
      <c r="B262" s="1">
        <v>2466.4899999999998</v>
      </c>
      <c r="C262" s="41">
        <v>2465.6999999999998</v>
      </c>
      <c r="D262" s="38">
        <f t="shared" si="3"/>
        <v>-0.78999999999996362</v>
      </c>
      <c r="E262" s="39">
        <v>-0.85</v>
      </c>
    </row>
    <row r="263" spans="1:5" ht="16" x14ac:dyDescent="0.2">
      <c r="A263" s="40">
        <v>42984.570138888892</v>
      </c>
      <c r="B263" s="1">
        <v>2466.12</v>
      </c>
      <c r="C263" s="41">
        <v>2465.6999999999998</v>
      </c>
      <c r="D263" s="38">
        <f t="shared" si="3"/>
        <v>-0.42000000000007276</v>
      </c>
      <c r="E263" s="39">
        <v>-0.43</v>
      </c>
    </row>
    <row r="264" spans="1:5" ht="16" x14ac:dyDescent="0.2">
      <c r="A264" s="40">
        <v>42984.570833333331</v>
      </c>
      <c r="B264" s="1">
        <v>2466.0500000000002</v>
      </c>
      <c r="C264" s="41">
        <v>2465.5</v>
      </c>
      <c r="D264" s="38">
        <f t="shared" si="3"/>
        <v>-0.5500000000001819</v>
      </c>
      <c r="E264" s="39">
        <v>-0.57999999999999996</v>
      </c>
    </row>
    <row r="265" spans="1:5" ht="16" x14ac:dyDescent="0.2">
      <c r="A265" s="40">
        <v>42984.571527777778</v>
      </c>
      <c r="B265" s="1">
        <v>2466.04</v>
      </c>
      <c r="C265" s="41">
        <v>2465.5</v>
      </c>
      <c r="D265" s="38">
        <f t="shared" si="3"/>
        <v>-0.53999999999996362</v>
      </c>
      <c r="E265" s="39">
        <v>-0.64</v>
      </c>
    </row>
    <row r="266" spans="1:5" ht="16" x14ac:dyDescent="0.2">
      <c r="A266" s="40">
        <v>42984.572222222225</v>
      </c>
      <c r="B266" s="1">
        <v>2466.19</v>
      </c>
      <c r="C266" s="41">
        <v>2465.5</v>
      </c>
      <c r="D266" s="38">
        <f t="shared" si="3"/>
        <v>-0.69000000000005457</v>
      </c>
      <c r="E266" s="39">
        <v>-0.67</v>
      </c>
    </row>
    <row r="267" spans="1:5" ht="16" x14ac:dyDescent="0.2">
      <c r="A267" s="40">
        <v>42984.572916666664</v>
      </c>
      <c r="B267" s="1">
        <v>2466.44</v>
      </c>
      <c r="C267" s="41">
        <v>2465.5</v>
      </c>
      <c r="D267" s="38">
        <f t="shared" si="3"/>
        <v>-0.94000000000005457</v>
      </c>
      <c r="E267" s="39">
        <v>-0.95</v>
      </c>
    </row>
    <row r="268" spans="1:5" ht="16" x14ac:dyDescent="0.2">
      <c r="A268" s="40">
        <v>42984.573611111111</v>
      </c>
      <c r="B268" s="1">
        <v>2466.4</v>
      </c>
      <c r="C268" s="41">
        <v>2465.5</v>
      </c>
      <c r="D268" s="38">
        <f t="shared" si="3"/>
        <v>-0.90000000000009095</v>
      </c>
      <c r="E268" s="39">
        <v>-0.9</v>
      </c>
    </row>
    <row r="269" spans="1:5" ht="16" x14ac:dyDescent="0.2">
      <c r="A269" s="40">
        <v>42984.574305555558</v>
      </c>
      <c r="B269" s="1">
        <v>2466.1799999999998</v>
      </c>
      <c r="C269" s="41">
        <v>2465.5</v>
      </c>
      <c r="D269" s="38">
        <f t="shared" ref="D269:D332" si="4">IF(OR(C269="",B269=""),"",C269-B269)</f>
        <v>-0.67999999999983629</v>
      </c>
      <c r="E269" s="39">
        <v>-0.73</v>
      </c>
    </row>
    <row r="270" spans="1:5" ht="16" x14ac:dyDescent="0.2">
      <c r="A270" s="40">
        <v>42984.574999999997</v>
      </c>
      <c r="B270" s="1">
        <v>2466.1</v>
      </c>
      <c r="C270" s="41">
        <v>2465.5</v>
      </c>
      <c r="D270" s="38">
        <f t="shared" si="4"/>
        <v>-0.59999999999990905</v>
      </c>
      <c r="E270" s="39">
        <v>-0.56999999999999995</v>
      </c>
    </row>
    <row r="271" spans="1:5" ht="16" x14ac:dyDescent="0.2">
      <c r="A271" s="40">
        <v>42984.575694444444</v>
      </c>
      <c r="B271" s="1">
        <v>2466.37</v>
      </c>
      <c r="C271" s="41">
        <v>2465.5</v>
      </c>
      <c r="D271" s="38">
        <f t="shared" si="4"/>
        <v>-0.86999999999989086</v>
      </c>
      <c r="E271" s="39">
        <v>-0.88</v>
      </c>
    </row>
    <row r="272" spans="1:5" ht="16" x14ac:dyDescent="0.2">
      <c r="A272" s="40">
        <v>42984.576388888891</v>
      </c>
      <c r="B272" s="1">
        <v>2466.34</v>
      </c>
      <c r="C272" s="41">
        <v>2465.5</v>
      </c>
      <c r="D272" s="38">
        <f t="shared" si="4"/>
        <v>-0.84000000000014552</v>
      </c>
      <c r="E272" s="39">
        <v>-0.91</v>
      </c>
    </row>
    <row r="273" spans="1:5" ht="16" x14ac:dyDescent="0.2">
      <c r="A273" s="40">
        <v>42984.57708333333</v>
      </c>
      <c r="B273" s="1">
        <v>2466.4</v>
      </c>
      <c r="C273" s="41">
        <v>2465.5</v>
      </c>
      <c r="D273" s="38">
        <f t="shared" si="4"/>
        <v>-0.90000000000009095</v>
      </c>
      <c r="E273" s="39">
        <v>-0.94</v>
      </c>
    </row>
    <row r="274" spans="1:5" ht="16" x14ac:dyDescent="0.2">
      <c r="A274" s="40">
        <v>42984.577777777777</v>
      </c>
      <c r="B274" s="1">
        <v>2466.21</v>
      </c>
      <c r="C274" s="41">
        <v>2465.5</v>
      </c>
      <c r="D274" s="38">
        <f t="shared" si="4"/>
        <v>-0.71000000000003638</v>
      </c>
      <c r="E274" s="39">
        <v>-0.71</v>
      </c>
    </row>
    <row r="275" spans="1:5" ht="16" x14ac:dyDescent="0.2">
      <c r="A275" s="40">
        <v>42984.578472222223</v>
      </c>
      <c r="B275" s="1">
        <v>2466.1</v>
      </c>
      <c r="C275" s="41">
        <v>2465.5</v>
      </c>
      <c r="D275" s="38">
        <f t="shared" si="4"/>
        <v>-0.59999999999990905</v>
      </c>
      <c r="E275" s="39">
        <v>-0.63</v>
      </c>
    </row>
    <row r="276" spans="1:5" ht="16" x14ac:dyDescent="0.2">
      <c r="A276" s="40">
        <v>42984.57916666667</v>
      </c>
      <c r="B276" s="1">
        <v>2466.0300000000002</v>
      </c>
      <c r="C276" s="41">
        <v>2465.5</v>
      </c>
      <c r="D276" s="38">
        <f t="shared" si="4"/>
        <v>-0.53000000000020009</v>
      </c>
      <c r="E276" s="39">
        <v>-0.62</v>
      </c>
    </row>
    <row r="277" spans="1:5" ht="16" x14ac:dyDescent="0.2">
      <c r="A277" s="40">
        <v>42984.579861111109</v>
      </c>
      <c r="B277" s="1">
        <v>2465.84</v>
      </c>
      <c r="C277" s="43">
        <v>2465.5</v>
      </c>
      <c r="D277" s="38">
        <f t="shared" si="4"/>
        <v>-0.34000000000014552</v>
      </c>
      <c r="E277" s="39">
        <v>-0.33</v>
      </c>
    </row>
    <row r="278" spans="1:5" ht="16" x14ac:dyDescent="0.2">
      <c r="A278" s="40">
        <v>42984.580555555556</v>
      </c>
      <c r="B278" s="1">
        <v>2465.85</v>
      </c>
      <c r="C278" s="43">
        <v>2465.3000000000002</v>
      </c>
      <c r="D278" s="38">
        <f t="shared" si="4"/>
        <v>-0.54999999999972715</v>
      </c>
      <c r="E278" s="39">
        <v>-0.55000000000000004</v>
      </c>
    </row>
    <row r="279" spans="1:5" ht="16" x14ac:dyDescent="0.2">
      <c r="A279" s="40">
        <v>42984.581250000003</v>
      </c>
      <c r="B279" s="1">
        <v>2465.31</v>
      </c>
      <c r="C279" s="43">
        <v>2465</v>
      </c>
      <c r="D279" s="38">
        <f t="shared" si="4"/>
        <v>-0.30999999999994543</v>
      </c>
      <c r="E279" s="39">
        <v>-0.22</v>
      </c>
    </row>
    <row r="280" spans="1:5" ht="16" x14ac:dyDescent="0.2">
      <c r="A280" s="40">
        <v>42984.581944444442</v>
      </c>
      <c r="B280" s="1">
        <v>2465.4299999999998</v>
      </c>
      <c r="C280" s="43">
        <v>2465</v>
      </c>
      <c r="D280" s="38">
        <f t="shared" si="4"/>
        <v>-0.42999999999983629</v>
      </c>
      <c r="E280" s="39">
        <v>-0.34</v>
      </c>
    </row>
    <row r="281" spans="1:5" ht="16" x14ac:dyDescent="0.2">
      <c r="A281" s="40">
        <v>42984.582638888889</v>
      </c>
      <c r="B281" s="1">
        <v>2465.42</v>
      </c>
      <c r="C281" s="43">
        <v>2465</v>
      </c>
      <c r="D281" s="38">
        <f t="shared" si="4"/>
        <v>-0.42000000000007276</v>
      </c>
      <c r="E281" s="39">
        <v>-0.35</v>
      </c>
    </row>
    <row r="282" spans="1:5" ht="16" x14ac:dyDescent="0.2">
      <c r="A282" s="40">
        <v>42984.583333333336</v>
      </c>
      <c r="B282" s="1">
        <v>2465.5700000000002</v>
      </c>
      <c r="C282" s="43">
        <v>2465</v>
      </c>
      <c r="D282" s="38">
        <f t="shared" si="4"/>
        <v>-0.57000000000016371</v>
      </c>
      <c r="E282" s="39">
        <v>-0.54</v>
      </c>
    </row>
    <row r="283" spans="1:5" ht="16" x14ac:dyDescent="0.2">
      <c r="A283" s="40">
        <v>42984.584027777775</v>
      </c>
      <c r="B283" s="1">
        <v>2465.6</v>
      </c>
      <c r="C283" s="43">
        <v>2465</v>
      </c>
      <c r="D283" s="38">
        <f t="shared" si="4"/>
        <v>-0.59999999999990905</v>
      </c>
      <c r="E283" s="39">
        <v>-0.48</v>
      </c>
    </row>
    <row r="284" spans="1:5" ht="16" x14ac:dyDescent="0.2">
      <c r="A284" s="40">
        <v>42984.584722222222</v>
      </c>
      <c r="B284" s="1">
        <v>2465.9499999999998</v>
      </c>
      <c r="C284" s="43">
        <v>2465.3000000000002</v>
      </c>
      <c r="D284" s="38">
        <f t="shared" si="4"/>
        <v>-0.6499999999996362</v>
      </c>
      <c r="E284" s="39">
        <v>-0.6</v>
      </c>
    </row>
    <row r="285" spans="1:5" ht="16" x14ac:dyDescent="0.2">
      <c r="A285" s="40">
        <v>42984.585416666669</v>
      </c>
      <c r="B285" s="1">
        <v>2466.17</v>
      </c>
      <c r="C285" s="43">
        <v>2465.3000000000002</v>
      </c>
      <c r="D285" s="38">
        <f t="shared" si="4"/>
        <v>-0.86999999999989086</v>
      </c>
      <c r="E285" s="39">
        <v>-0.86</v>
      </c>
    </row>
    <row r="286" spans="1:5" ht="16" x14ac:dyDescent="0.2">
      <c r="A286" s="40">
        <v>42984.586111111108</v>
      </c>
      <c r="B286" s="1">
        <v>2466.2600000000002</v>
      </c>
      <c r="C286" s="43">
        <v>2465.3000000000002</v>
      </c>
      <c r="D286" s="38">
        <f t="shared" si="4"/>
        <v>-0.96000000000003638</v>
      </c>
      <c r="E286" s="39">
        <v>-0.99</v>
      </c>
    </row>
    <row r="287" spans="1:5" ht="16" x14ac:dyDescent="0.2">
      <c r="A287" s="40">
        <v>42984.586805555555</v>
      </c>
      <c r="B287" s="1">
        <v>2466.3200000000002</v>
      </c>
      <c r="C287" s="43">
        <v>2465.5</v>
      </c>
      <c r="D287" s="38">
        <f t="shared" si="4"/>
        <v>-0.82000000000016371</v>
      </c>
      <c r="E287" s="39">
        <v>-0.91</v>
      </c>
    </row>
    <row r="288" spans="1:5" ht="16" x14ac:dyDescent="0.2">
      <c r="A288" s="40">
        <v>42984.587500000001</v>
      </c>
      <c r="B288" s="1">
        <v>2467.0500000000002</v>
      </c>
      <c r="C288" s="43">
        <v>2466</v>
      </c>
      <c r="D288" s="38">
        <f t="shared" si="4"/>
        <v>-1.0500000000001819</v>
      </c>
      <c r="E288" s="39">
        <v>-0.97</v>
      </c>
    </row>
    <row r="289" spans="1:5" ht="16" x14ac:dyDescent="0.2">
      <c r="A289" s="40">
        <v>42984.588194444441</v>
      </c>
      <c r="B289" s="1">
        <v>2467.0700000000002</v>
      </c>
      <c r="C289" s="43">
        <v>2466</v>
      </c>
      <c r="D289" s="38">
        <f t="shared" si="4"/>
        <v>-1.0700000000001637</v>
      </c>
      <c r="E289" s="39">
        <v>-1.02</v>
      </c>
    </row>
    <row r="290" spans="1:5" ht="16" x14ac:dyDescent="0.2">
      <c r="A290" s="40">
        <v>42984.588888888888</v>
      </c>
      <c r="B290" s="1">
        <v>2467.14</v>
      </c>
      <c r="C290" s="43">
        <v>2466</v>
      </c>
      <c r="D290" s="38">
        <f t="shared" si="4"/>
        <v>-1.1399999999998727</v>
      </c>
      <c r="E290" s="39">
        <v>-1.17</v>
      </c>
    </row>
    <row r="291" spans="1:5" ht="16" x14ac:dyDescent="0.2">
      <c r="A291" s="40">
        <v>42984.589583333334</v>
      </c>
      <c r="B291" s="1">
        <v>2467.1999999999998</v>
      </c>
      <c r="C291" s="43">
        <v>2466.5</v>
      </c>
      <c r="D291" s="38">
        <f t="shared" si="4"/>
        <v>-0.6999999999998181</v>
      </c>
      <c r="E291" s="39">
        <v>-1.1100000000000001</v>
      </c>
    </row>
    <row r="292" spans="1:5" ht="16" x14ac:dyDescent="0.2">
      <c r="A292" s="40">
        <v>42984.590277777781</v>
      </c>
      <c r="B292" s="1">
        <v>2467.84</v>
      </c>
      <c r="C292" s="43">
        <v>2466.5</v>
      </c>
      <c r="D292" s="38">
        <f t="shared" si="4"/>
        <v>-1.3400000000001455</v>
      </c>
      <c r="E292" s="39">
        <v>-1.19</v>
      </c>
    </row>
    <row r="293" spans="1:5" ht="16" x14ac:dyDescent="0.2">
      <c r="A293" s="40">
        <v>42984.59097222222</v>
      </c>
      <c r="B293" s="1">
        <v>2467.7800000000002</v>
      </c>
      <c r="C293" s="43">
        <v>2466.5</v>
      </c>
      <c r="D293" s="38">
        <f t="shared" si="4"/>
        <v>-1.2800000000002001</v>
      </c>
      <c r="E293" s="39">
        <v>-1.1100000000000001</v>
      </c>
    </row>
    <row r="294" spans="1:5" ht="16" x14ac:dyDescent="0.2">
      <c r="A294" s="40">
        <v>42984.591666666667</v>
      </c>
      <c r="B294" s="1">
        <v>2467.6799999999998</v>
      </c>
      <c r="C294" s="43">
        <v>2466.5</v>
      </c>
      <c r="D294" s="38">
        <f t="shared" si="4"/>
        <v>-1.1799999999998363</v>
      </c>
      <c r="E294" s="39">
        <v>-1.1399999999999999</v>
      </c>
    </row>
    <row r="295" spans="1:5" ht="16" x14ac:dyDescent="0.2">
      <c r="A295" s="40">
        <v>42984.592361111114</v>
      </c>
      <c r="B295" s="1">
        <v>2467.27</v>
      </c>
      <c r="C295" s="43">
        <v>2466.5</v>
      </c>
      <c r="D295" s="38">
        <f t="shared" si="4"/>
        <v>-0.76999999999998181</v>
      </c>
      <c r="E295" s="39">
        <v>-0.83</v>
      </c>
    </row>
    <row r="296" spans="1:5" ht="16" x14ac:dyDescent="0.2">
      <c r="A296" s="40">
        <v>42984.593055555553</v>
      </c>
      <c r="B296" s="1">
        <v>2467.17</v>
      </c>
      <c r="C296" s="43">
        <v>2466.5</v>
      </c>
      <c r="D296" s="38">
        <f t="shared" si="4"/>
        <v>-0.67000000000007276</v>
      </c>
      <c r="E296" s="39">
        <v>-0.63</v>
      </c>
    </row>
    <row r="297" spans="1:5" ht="16" x14ac:dyDescent="0.2">
      <c r="A297" s="40">
        <v>42984.59375</v>
      </c>
      <c r="B297" s="1">
        <v>2466.94</v>
      </c>
      <c r="C297" s="43">
        <v>2466.5</v>
      </c>
      <c r="D297" s="38">
        <f t="shared" si="4"/>
        <v>-0.44000000000005457</v>
      </c>
      <c r="E297" s="39">
        <v>-0.39</v>
      </c>
    </row>
    <row r="298" spans="1:5" ht="16" x14ac:dyDescent="0.2">
      <c r="A298" s="40">
        <v>42984.594444444447</v>
      </c>
      <c r="B298" s="1">
        <v>2467.08</v>
      </c>
      <c r="C298" s="43">
        <v>2466.5</v>
      </c>
      <c r="D298" s="38">
        <f t="shared" si="4"/>
        <v>-0.57999999999992724</v>
      </c>
      <c r="E298" s="1">
        <v>-0.6</v>
      </c>
    </row>
    <row r="299" spans="1:5" ht="16" x14ac:dyDescent="0.2">
      <c r="A299" s="40">
        <v>42984.595138888886</v>
      </c>
      <c r="B299" s="1">
        <v>2467.06</v>
      </c>
      <c r="C299" s="43">
        <v>2466.5</v>
      </c>
      <c r="D299" s="38">
        <f t="shared" si="4"/>
        <v>-0.55999999999994543</v>
      </c>
      <c r="E299" s="1">
        <v>-0.57999999999999996</v>
      </c>
    </row>
    <row r="300" spans="1:5" ht="16" x14ac:dyDescent="0.2">
      <c r="A300" s="40">
        <v>42984.595833333333</v>
      </c>
      <c r="B300" s="1">
        <v>2467.6</v>
      </c>
      <c r="C300" s="43">
        <v>2466.5</v>
      </c>
      <c r="D300" s="38">
        <f t="shared" si="4"/>
        <v>-1.0999999999999091</v>
      </c>
      <c r="E300" s="1">
        <v>-1</v>
      </c>
    </row>
    <row r="301" spans="1:5" ht="16" x14ac:dyDescent="0.2">
      <c r="A301" s="40">
        <v>42984.59652777778</v>
      </c>
      <c r="B301" s="1">
        <v>2467.54</v>
      </c>
      <c r="C301" s="43">
        <v>2466.5</v>
      </c>
      <c r="D301" s="38">
        <f t="shared" si="4"/>
        <v>-1.0399999999999636</v>
      </c>
      <c r="E301" s="1">
        <v>-1.0900000000000001</v>
      </c>
    </row>
    <row r="302" spans="1:5" ht="16" x14ac:dyDescent="0.2">
      <c r="A302" s="40">
        <v>42984.597222222219</v>
      </c>
      <c r="B302" s="1">
        <v>2467.42</v>
      </c>
      <c r="C302" s="43">
        <v>2466.5</v>
      </c>
      <c r="D302" s="38">
        <f t="shared" si="4"/>
        <v>-0.92000000000007276</v>
      </c>
      <c r="E302" s="1">
        <v>-1.02</v>
      </c>
    </row>
    <row r="303" spans="1:5" ht="16" x14ac:dyDescent="0.2">
      <c r="A303" s="40">
        <v>42984.597916666666</v>
      </c>
      <c r="B303" s="1">
        <v>2467.16</v>
      </c>
      <c r="C303" s="43">
        <v>2466.5</v>
      </c>
      <c r="D303" s="38">
        <f t="shared" si="4"/>
        <v>-0.65999999999985448</v>
      </c>
      <c r="E303" s="1">
        <v>-0.91</v>
      </c>
    </row>
    <row r="304" spans="1:5" ht="16" x14ac:dyDescent="0.2">
      <c r="A304" s="40">
        <v>42984.598611111112</v>
      </c>
      <c r="B304" s="1">
        <v>2467.59</v>
      </c>
      <c r="C304" s="43">
        <v>2466.5</v>
      </c>
      <c r="D304" s="38">
        <f t="shared" si="4"/>
        <v>-1.0900000000001455</v>
      </c>
      <c r="E304" s="1">
        <v>-0.85</v>
      </c>
    </row>
    <row r="305" spans="1:5" ht="16" x14ac:dyDescent="0.2">
      <c r="A305" s="40">
        <v>42984.599305555559</v>
      </c>
      <c r="B305" s="1">
        <v>2468.36</v>
      </c>
      <c r="C305" s="43">
        <v>2467.5</v>
      </c>
      <c r="D305" s="38">
        <f t="shared" si="4"/>
        <v>-0.86000000000012733</v>
      </c>
      <c r="E305" s="1">
        <v>-0.83</v>
      </c>
    </row>
    <row r="306" spans="1:5" ht="16" x14ac:dyDescent="0.2">
      <c r="A306" s="40">
        <v>42984.6</v>
      </c>
      <c r="B306" s="1">
        <v>2468.09</v>
      </c>
      <c r="C306" s="43">
        <v>2467.5</v>
      </c>
      <c r="D306" s="38">
        <f t="shared" si="4"/>
        <v>-0.59000000000014552</v>
      </c>
      <c r="E306" s="1">
        <v>-0.78</v>
      </c>
    </row>
    <row r="307" spans="1:5" ht="16" x14ac:dyDescent="0.2">
      <c r="A307" s="40">
        <v>42984.600694444445</v>
      </c>
      <c r="B307" s="1">
        <v>2468.04</v>
      </c>
      <c r="C307" s="43">
        <v>2467.5</v>
      </c>
      <c r="D307" s="38">
        <f t="shared" si="4"/>
        <v>-0.53999999999996362</v>
      </c>
      <c r="E307" s="1">
        <v>-0.53</v>
      </c>
    </row>
    <row r="308" spans="1:5" ht="16" x14ac:dyDescent="0.2">
      <c r="A308" s="40">
        <v>42984.601388888892</v>
      </c>
      <c r="B308" s="1">
        <v>2468.25</v>
      </c>
      <c r="C308" s="43">
        <v>2467</v>
      </c>
      <c r="D308" s="38">
        <f t="shared" si="4"/>
        <v>-1.25</v>
      </c>
      <c r="E308" s="1">
        <v>-0.73</v>
      </c>
    </row>
    <row r="309" spans="1:5" ht="16" x14ac:dyDescent="0.2">
      <c r="A309" s="40">
        <v>42984.602083333331</v>
      </c>
      <c r="B309" s="1">
        <v>2468.29</v>
      </c>
      <c r="C309" s="43">
        <v>2467.6999999999998</v>
      </c>
      <c r="D309" s="38">
        <f t="shared" si="4"/>
        <v>-0.59000000000014552</v>
      </c>
      <c r="E309" s="1">
        <v>-0.72</v>
      </c>
    </row>
    <row r="310" spans="1:5" ht="16" x14ac:dyDescent="0.2">
      <c r="A310" s="40">
        <v>42984.602777777778</v>
      </c>
      <c r="B310" s="1">
        <v>2468.06</v>
      </c>
      <c r="C310" s="43">
        <v>2467.6999999999998</v>
      </c>
      <c r="D310" s="38">
        <f t="shared" si="4"/>
        <v>-0.36000000000012733</v>
      </c>
      <c r="E310" s="1">
        <v>-0.36</v>
      </c>
    </row>
    <row r="311" spans="1:5" ht="16" x14ac:dyDescent="0.2">
      <c r="A311" s="40">
        <v>42984.603472222225</v>
      </c>
      <c r="B311" s="1">
        <v>2467.88</v>
      </c>
      <c r="C311" s="43">
        <v>2467.1999999999998</v>
      </c>
      <c r="D311" s="38">
        <f t="shared" si="4"/>
        <v>-0.68000000000029104</v>
      </c>
      <c r="E311" s="1">
        <v>-0.72</v>
      </c>
    </row>
    <row r="312" spans="1:5" ht="16" x14ac:dyDescent="0.2">
      <c r="A312" s="40">
        <v>42984.604166666664</v>
      </c>
      <c r="B312" s="1">
        <v>2467.83</v>
      </c>
      <c r="C312" s="43">
        <v>2467.5</v>
      </c>
      <c r="D312" s="38">
        <f t="shared" si="4"/>
        <v>-0.32999999999992724</v>
      </c>
      <c r="E312" s="1">
        <v>-0.36</v>
      </c>
    </row>
    <row r="313" spans="1:5" ht="16" x14ac:dyDescent="0.2">
      <c r="A313" s="40">
        <v>42984.604861111111</v>
      </c>
      <c r="B313" s="1">
        <v>2467.96</v>
      </c>
      <c r="C313" s="43">
        <v>2467.3000000000002</v>
      </c>
      <c r="D313" s="38">
        <f t="shared" si="4"/>
        <v>-0.65999999999985448</v>
      </c>
      <c r="E313" s="1">
        <v>-0.75</v>
      </c>
    </row>
    <row r="314" spans="1:5" ht="16" x14ac:dyDescent="0.2">
      <c r="A314" s="40">
        <v>42984.605555555558</v>
      </c>
      <c r="B314" s="1">
        <v>2467.31</v>
      </c>
      <c r="C314" s="43">
        <v>2466.5</v>
      </c>
      <c r="D314" s="38">
        <f t="shared" si="4"/>
        <v>-0.80999999999994543</v>
      </c>
      <c r="E314" s="1">
        <v>-0.09</v>
      </c>
    </row>
    <row r="315" spans="1:5" ht="16" x14ac:dyDescent="0.2">
      <c r="A315" s="40">
        <v>42984.606249999997</v>
      </c>
      <c r="B315" s="1">
        <v>2467.64</v>
      </c>
      <c r="C315" s="43">
        <v>2466.5</v>
      </c>
      <c r="D315" s="38">
        <f t="shared" si="4"/>
        <v>-1.1399999999998727</v>
      </c>
      <c r="E315" s="1">
        <v>-1.08</v>
      </c>
    </row>
    <row r="316" spans="1:5" ht="16" x14ac:dyDescent="0.2">
      <c r="A316" s="40">
        <v>42984.606944444444</v>
      </c>
      <c r="B316" s="1">
        <v>2467.75</v>
      </c>
      <c r="C316" s="43">
        <v>2466.5</v>
      </c>
      <c r="D316" s="38">
        <f t="shared" si="4"/>
        <v>-1.25</v>
      </c>
      <c r="E316" s="1">
        <v>-1.22</v>
      </c>
    </row>
    <row r="317" spans="1:5" ht="16" x14ac:dyDescent="0.2">
      <c r="A317" s="40">
        <v>42984.607638888891</v>
      </c>
      <c r="B317" s="1">
        <v>2468.14</v>
      </c>
      <c r="C317" s="43">
        <v>2467.5</v>
      </c>
      <c r="D317" s="38">
        <f t="shared" si="4"/>
        <v>-0.63999999999987267</v>
      </c>
      <c r="E317" s="1">
        <v>-0.67</v>
      </c>
    </row>
    <row r="318" spans="1:5" ht="16" x14ac:dyDescent="0.2">
      <c r="A318" s="40">
        <v>42984.60833333333</v>
      </c>
      <c r="B318" s="1">
        <v>2468.08</v>
      </c>
      <c r="C318" s="43">
        <v>2467.5</v>
      </c>
      <c r="D318" s="38">
        <f t="shared" si="4"/>
        <v>-0.57999999999992724</v>
      </c>
      <c r="E318" s="1">
        <v>-0.57999999999999996</v>
      </c>
    </row>
    <row r="319" spans="1:5" ht="16" x14ac:dyDescent="0.2">
      <c r="A319" s="40">
        <v>42984.609027777777</v>
      </c>
      <c r="B319" s="1">
        <v>2467.94</v>
      </c>
      <c r="C319" s="43">
        <v>2467.1999999999998</v>
      </c>
      <c r="D319" s="38">
        <f t="shared" si="4"/>
        <v>-0.74000000000023647</v>
      </c>
      <c r="E319" s="1">
        <v>-0.71</v>
      </c>
    </row>
    <row r="320" spans="1:5" ht="16" x14ac:dyDescent="0.2">
      <c r="A320" s="40">
        <v>42984.609722222223</v>
      </c>
      <c r="B320" s="1">
        <v>2467.69</v>
      </c>
      <c r="C320" s="43">
        <v>2467.1999999999998</v>
      </c>
      <c r="D320" s="38">
        <f t="shared" si="4"/>
        <v>-0.49000000000023647</v>
      </c>
      <c r="E320" s="1">
        <v>-0.59</v>
      </c>
    </row>
    <row r="321" spans="1:5" ht="16" x14ac:dyDescent="0.2">
      <c r="A321" s="40">
        <v>42984.61041666667</v>
      </c>
      <c r="B321" s="1">
        <v>2467.9299999999998</v>
      </c>
      <c r="C321" s="43">
        <v>2467</v>
      </c>
      <c r="D321" s="38">
        <f t="shared" si="4"/>
        <v>-0.92999999999983629</v>
      </c>
      <c r="E321" s="1">
        <v>-0.92</v>
      </c>
    </row>
    <row r="322" spans="1:5" ht="16" x14ac:dyDescent="0.2">
      <c r="A322" s="40">
        <v>42984.611111111109</v>
      </c>
      <c r="B322" s="1">
        <v>2467.9699999999998</v>
      </c>
      <c r="C322" s="43">
        <v>2467</v>
      </c>
      <c r="D322" s="38">
        <f t="shared" si="4"/>
        <v>-0.96999999999979991</v>
      </c>
      <c r="E322" s="1">
        <v>-0.98</v>
      </c>
    </row>
    <row r="323" spans="1:5" ht="16" x14ac:dyDescent="0.2">
      <c r="A323" s="40">
        <v>42984.611805555556</v>
      </c>
      <c r="B323" s="1">
        <v>2467.6799999999998</v>
      </c>
      <c r="C323" s="39">
        <v>2467</v>
      </c>
      <c r="D323" s="38">
        <f t="shared" si="4"/>
        <v>-0.67999999999983629</v>
      </c>
      <c r="E323" s="1">
        <v>-0.67</v>
      </c>
    </row>
    <row r="324" spans="1:5" ht="16" x14ac:dyDescent="0.2">
      <c r="A324" s="40">
        <v>42984.612500000003</v>
      </c>
      <c r="B324" s="1">
        <v>2467.84</v>
      </c>
      <c r="C324" s="39">
        <v>2466.6999999999998</v>
      </c>
      <c r="D324" s="38">
        <f t="shared" si="4"/>
        <v>-1.1400000000003274</v>
      </c>
      <c r="E324" s="1">
        <v>-0.97</v>
      </c>
    </row>
    <row r="325" spans="1:5" ht="16" x14ac:dyDescent="0.2">
      <c r="A325" s="40">
        <v>42984.613194444442</v>
      </c>
      <c r="B325" s="1">
        <v>2467.64</v>
      </c>
      <c r="C325" s="39">
        <v>2467</v>
      </c>
      <c r="D325" s="38">
        <f t="shared" si="4"/>
        <v>-0.63999999999987267</v>
      </c>
      <c r="E325" s="1">
        <v>-0.74</v>
      </c>
    </row>
    <row r="326" spans="1:5" ht="16" x14ac:dyDescent="0.2">
      <c r="A326" s="40">
        <v>42984.613888888889</v>
      </c>
      <c r="B326" s="1">
        <v>2467.1799999999998</v>
      </c>
      <c r="C326" s="39">
        <v>2466.5</v>
      </c>
      <c r="D326" s="38">
        <f t="shared" si="4"/>
        <v>-0.67999999999983629</v>
      </c>
      <c r="E326" s="1">
        <v>-0.24</v>
      </c>
    </row>
    <row r="327" spans="1:5" ht="16" x14ac:dyDescent="0.2">
      <c r="A327" s="40">
        <v>42984.614583333336</v>
      </c>
      <c r="B327" s="1">
        <v>2467.61</v>
      </c>
      <c r="C327" s="39">
        <v>2466.5</v>
      </c>
      <c r="D327" s="38">
        <f t="shared" si="4"/>
        <v>-1.1100000000001273</v>
      </c>
      <c r="E327" s="1">
        <v>-1.1100000000000001</v>
      </c>
    </row>
    <row r="328" spans="1:5" ht="16" x14ac:dyDescent="0.2">
      <c r="A328" s="40">
        <v>42984.615277777775</v>
      </c>
      <c r="B328" s="1">
        <v>2467.36</v>
      </c>
      <c r="C328" s="39">
        <v>2466.8000000000002</v>
      </c>
      <c r="D328" s="38">
        <f t="shared" si="4"/>
        <v>-0.55999999999994543</v>
      </c>
      <c r="E328" s="1">
        <v>-0.6</v>
      </c>
    </row>
    <row r="329" spans="1:5" ht="16" x14ac:dyDescent="0.2">
      <c r="A329" s="40">
        <v>42984.615972222222</v>
      </c>
      <c r="B329" s="1">
        <v>2467.0700000000002</v>
      </c>
      <c r="C329" s="39">
        <v>2466.5</v>
      </c>
      <c r="D329" s="38">
        <f t="shared" si="4"/>
        <v>-0.57000000000016371</v>
      </c>
      <c r="E329" s="1">
        <v>-0.57999999999999996</v>
      </c>
    </row>
    <row r="330" spans="1:5" ht="16" x14ac:dyDescent="0.2">
      <c r="A330" s="40">
        <v>42984.616666666669</v>
      </c>
      <c r="B330" s="1">
        <v>2467.33</v>
      </c>
      <c r="C330" s="39">
        <v>2466.5</v>
      </c>
      <c r="D330" s="38">
        <f t="shared" si="4"/>
        <v>-0.82999999999992724</v>
      </c>
      <c r="E330" s="1">
        <v>-0.75</v>
      </c>
    </row>
    <row r="331" spans="1:5" ht="16" x14ac:dyDescent="0.2">
      <c r="A331" s="40">
        <v>42984.617361111108</v>
      </c>
      <c r="B331" s="1">
        <v>2466.64</v>
      </c>
      <c r="C331" s="39">
        <v>2466.3000000000002</v>
      </c>
      <c r="D331" s="38">
        <f t="shared" si="4"/>
        <v>-0.33999999999969077</v>
      </c>
      <c r="E331" s="1">
        <v>-0.52</v>
      </c>
    </row>
    <row r="332" spans="1:5" ht="16" x14ac:dyDescent="0.2">
      <c r="A332" s="40">
        <v>42984.618055555555</v>
      </c>
      <c r="B332" s="1">
        <v>2466.81</v>
      </c>
      <c r="C332" s="39">
        <v>2466</v>
      </c>
      <c r="D332" s="38">
        <f t="shared" si="4"/>
        <v>-0.80999999999994543</v>
      </c>
      <c r="E332" s="1">
        <v>-0.85</v>
      </c>
    </row>
    <row r="333" spans="1:5" ht="16" x14ac:dyDescent="0.2">
      <c r="A333" s="40">
        <v>42984.618750000001</v>
      </c>
      <c r="B333" s="1">
        <v>2466.7199999999998</v>
      </c>
      <c r="C333" s="39">
        <v>2466</v>
      </c>
      <c r="D333" s="38">
        <f t="shared" ref="D333:D396" si="5">IF(OR(C333="",B333=""),"",C333-B333)</f>
        <v>-0.71999999999979991</v>
      </c>
      <c r="E333" s="1">
        <v>-0.69</v>
      </c>
    </row>
    <row r="334" spans="1:5" ht="16" x14ac:dyDescent="0.2">
      <c r="A334" s="40">
        <v>42984.619444444441</v>
      </c>
      <c r="B334" s="1">
        <v>2466.75</v>
      </c>
      <c r="C334" s="39">
        <v>2466</v>
      </c>
      <c r="D334" s="38">
        <f t="shared" si="5"/>
        <v>-0.75</v>
      </c>
      <c r="E334" s="1">
        <v>-0.75</v>
      </c>
    </row>
    <row r="335" spans="1:5" ht="16" x14ac:dyDescent="0.2">
      <c r="A335" s="40">
        <v>42984.620138888888</v>
      </c>
      <c r="B335" s="1">
        <v>2466.8000000000002</v>
      </c>
      <c r="C335" s="39">
        <v>2466</v>
      </c>
      <c r="D335" s="38">
        <f t="shared" si="5"/>
        <v>-0.8000000000001819</v>
      </c>
      <c r="E335" s="1">
        <v>-0.76</v>
      </c>
    </row>
    <row r="336" spans="1:5" ht="16" x14ac:dyDescent="0.2">
      <c r="A336" s="40">
        <v>42984.620833333334</v>
      </c>
      <c r="B336" s="1">
        <v>2467.21</v>
      </c>
      <c r="C336" s="39">
        <v>2466</v>
      </c>
      <c r="D336" s="38">
        <f t="shared" si="5"/>
        <v>-1.2100000000000364</v>
      </c>
      <c r="E336" s="1">
        <v>-1.18</v>
      </c>
    </row>
    <row r="337" spans="1:5" ht="16" x14ac:dyDescent="0.2">
      <c r="A337" s="40">
        <v>42984.621527777781</v>
      </c>
      <c r="B337" s="1">
        <v>2467.38</v>
      </c>
      <c r="C337" s="39">
        <v>2466.8000000000002</v>
      </c>
      <c r="D337" s="38">
        <f t="shared" si="5"/>
        <v>-0.57999999999992724</v>
      </c>
      <c r="E337" s="1">
        <v>-0.55000000000000004</v>
      </c>
    </row>
    <row r="338" spans="1:5" ht="16" x14ac:dyDescent="0.2">
      <c r="A338" s="40">
        <v>42984.62222222222</v>
      </c>
      <c r="B338" s="1">
        <v>2467.4299999999998</v>
      </c>
      <c r="C338" s="39">
        <v>2466.5</v>
      </c>
      <c r="D338" s="38">
        <f t="shared" si="5"/>
        <v>-0.92999999999983629</v>
      </c>
      <c r="E338" s="1">
        <v>-0.94</v>
      </c>
    </row>
    <row r="339" spans="1:5" ht="16" x14ac:dyDescent="0.2">
      <c r="A339" s="40">
        <v>42984.622916666667</v>
      </c>
      <c r="B339" s="1">
        <v>2467.48</v>
      </c>
      <c r="C339" s="39">
        <v>2466.5</v>
      </c>
      <c r="D339" s="38">
        <f t="shared" si="5"/>
        <v>-0.98000000000001819</v>
      </c>
      <c r="E339" s="1">
        <v>-1.08</v>
      </c>
    </row>
    <row r="340" spans="1:5" ht="16" x14ac:dyDescent="0.2">
      <c r="A340" s="40">
        <v>42984.623611111114</v>
      </c>
      <c r="B340" s="1">
        <v>2467.54</v>
      </c>
      <c r="C340" s="39">
        <v>2466.5</v>
      </c>
      <c r="D340" s="38">
        <f t="shared" si="5"/>
        <v>-1.0399999999999636</v>
      </c>
      <c r="E340" s="1">
        <v>-1.06</v>
      </c>
    </row>
    <row r="341" spans="1:5" ht="16" x14ac:dyDescent="0.2">
      <c r="A341" s="40">
        <v>42984.624305555553</v>
      </c>
      <c r="B341" s="1">
        <v>2467.52</v>
      </c>
      <c r="C341" s="39">
        <v>2466.5</v>
      </c>
      <c r="D341" s="38">
        <f t="shared" si="5"/>
        <v>-1.0199999999999818</v>
      </c>
      <c r="E341" s="1">
        <v>-1.05</v>
      </c>
    </row>
    <row r="342" spans="1:5" ht="16" x14ac:dyDescent="0.2">
      <c r="A342" s="40">
        <v>42984.625</v>
      </c>
      <c r="B342" s="1">
        <v>2467.86</v>
      </c>
      <c r="C342" s="39">
        <v>2467</v>
      </c>
      <c r="D342" s="38">
        <f t="shared" si="5"/>
        <v>-0.86000000000012733</v>
      </c>
      <c r="E342" s="1">
        <v>-0.91</v>
      </c>
    </row>
    <row r="343" spans="1:5" ht="16" x14ac:dyDescent="0.2">
      <c r="A343" s="40">
        <v>42984.625694444447</v>
      </c>
      <c r="B343" s="1">
        <v>2467.1999999999998</v>
      </c>
      <c r="C343" s="39">
        <v>2467</v>
      </c>
      <c r="D343" s="38">
        <f t="shared" si="5"/>
        <v>-0.1999999999998181</v>
      </c>
      <c r="E343" s="1">
        <v>-0.43</v>
      </c>
    </row>
    <row r="344" spans="1:5" ht="16" x14ac:dyDescent="0.2">
      <c r="A344" s="40">
        <v>42984.626388888886</v>
      </c>
      <c r="B344" s="1">
        <v>2466.88</v>
      </c>
      <c r="C344" s="39">
        <v>2466.5</v>
      </c>
      <c r="D344" s="38">
        <f t="shared" si="5"/>
        <v>-0.38000000000010914</v>
      </c>
      <c r="E344" s="1">
        <v>-0.4</v>
      </c>
    </row>
    <row r="345" spans="1:5" ht="16" x14ac:dyDescent="0.2">
      <c r="A345" s="40">
        <v>42984.627083333333</v>
      </c>
      <c r="B345" s="1">
        <v>2467.21</v>
      </c>
      <c r="C345" s="39">
        <v>2466.3000000000002</v>
      </c>
      <c r="D345" s="38">
        <f t="shared" si="5"/>
        <v>-0.90999999999985448</v>
      </c>
      <c r="E345" s="1">
        <v>-0.83</v>
      </c>
    </row>
    <row r="346" spans="1:5" ht="16" x14ac:dyDescent="0.2">
      <c r="A346" s="40">
        <v>42984.62777777778</v>
      </c>
      <c r="B346" s="1">
        <v>2467.5100000000002</v>
      </c>
      <c r="C346" s="39">
        <v>2466.6999999999998</v>
      </c>
      <c r="D346" s="38">
        <f t="shared" si="5"/>
        <v>-0.81000000000040018</v>
      </c>
      <c r="E346" s="1">
        <v>-0.8</v>
      </c>
    </row>
    <row r="347" spans="1:5" ht="16" x14ac:dyDescent="0.2">
      <c r="A347" s="40">
        <v>42984.628472222219</v>
      </c>
      <c r="B347" s="1">
        <v>2467.7399999999998</v>
      </c>
      <c r="C347" s="39">
        <v>2466.6999999999998</v>
      </c>
      <c r="D347" s="38">
        <f t="shared" si="5"/>
        <v>-1.0399999999999636</v>
      </c>
      <c r="E347" s="1">
        <v>-1.06</v>
      </c>
    </row>
    <row r="348" spans="1:5" ht="16" x14ac:dyDescent="0.2">
      <c r="A348" s="40">
        <v>42984.629166666666</v>
      </c>
      <c r="B348" s="1">
        <v>2467.84</v>
      </c>
      <c r="C348" s="39">
        <v>2467</v>
      </c>
      <c r="D348" s="38">
        <f t="shared" si="5"/>
        <v>-0.84000000000014552</v>
      </c>
      <c r="E348" s="1">
        <v>-1.23</v>
      </c>
    </row>
    <row r="349" spans="1:5" ht="16" x14ac:dyDescent="0.2">
      <c r="A349" s="40">
        <v>42984.629861111112</v>
      </c>
      <c r="B349" s="1">
        <v>2467.7600000000002</v>
      </c>
      <c r="C349" s="39">
        <v>2467</v>
      </c>
      <c r="D349" s="38">
        <f t="shared" si="5"/>
        <v>-0.76000000000021828</v>
      </c>
      <c r="E349" s="1">
        <v>-0.75</v>
      </c>
    </row>
    <row r="350" spans="1:5" ht="16" x14ac:dyDescent="0.2">
      <c r="A350" s="40">
        <v>42984.630555555559</v>
      </c>
      <c r="B350" s="1">
        <v>2468.2600000000002</v>
      </c>
      <c r="C350" s="39">
        <v>2467.1999999999998</v>
      </c>
      <c r="D350" s="38">
        <f t="shared" si="5"/>
        <v>-1.0600000000004002</v>
      </c>
      <c r="E350" s="1">
        <v>-1.01</v>
      </c>
    </row>
    <row r="351" spans="1:5" ht="16" x14ac:dyDescent="0.2">
      <c r="A351" s="40">
        <v>42984.631249999999</v>
      </c>
      <c r="B351" s="1">
        <v>2468.23</v>
      </c>
      <c r="C351" s="39">
        <v>2467.5</v>
      </c>
      <c r="D351" s="38">
        <f t="shared" si="5"/>
        <v>-0.73000000000001819</v>
      </c>
      <c r="E351" s="1">
        <v>-0.96</v>
      </c>
    </row>
    <row r="352" spans="1:5" ht="16" x14ac:dyDescent="0.2">
      <c r="A352" s="40">
        <v>42984.631944444445</v>
      </c>
      <c r="B352" s="1">
        <v>2468.19</v>
      </c>
      <c r="C352" s="39">
        <v>2467.5</v>
      </c>
      <c r="D352" s="38">
        <f t="shared" si="5"/>
        <v>-0.69000000000005457</v>
      </c>
      <c r="E352" s="1">
        <v>-0.78</v>
      </c>
    </row>
    <row r="353" spans="1:5" ht="16" x14ac:dyDescent="0.2">
      <c r="A353" s="40">
        <v>42984.632638888892</v>
      </c>
      <c r="B353" s="1">
        <v>2468.3000000000002</v>
      </c>
      <c r="C353" s="39">
        <v>2467.5</v>
      </c>
      <c r="D353" s="38">
        <f t="shared" si="5"/>
        <v>-0.8000000000001819</v>
      </c>
      <c r="E353" s="1">
        <v>-0.78</v>
      </c>
    </row>
    <row r="354" spans="1:5" ht="16" x14ac:dyDescent="0.2">
      <c r="A354" s="40">
        <v>42984.633333333331</v>
      </c>
      <c r="B354" s="1">
        <v>2468.42</v>
      </c>
      <c r="C354" s="39">
        <v>2467.5</v>
      </c>
      <c r="D354" s="38">
        <f t="shared" si="5"/>
        <v>-0.92000000000007276</v>
      </c>
      <c r="E354" s="1">
        <v>-0.88</v>
      </c>
    </row>
    <row r="355" spans="1:5" ht="16" x14ac:dyDescent="0.2">
      <c r="A355" s="40">
        <v>42984.634027777778</v>
      </c>
      <c r="B355" s="1">
        <v>2468.0500000000002</v>
      </c>
      <c r="C355" s="39">
        <v>2467.5</v>
      </c>
      <c r="D355" s="38">
        <f t="shared" si="5"/>
        <v>-0.5500000000001819</v>
      </c>
      <c r="E355" s="1">
        <v>-0.62</v>
      </c>
    </row>
    <row r="356" spans="1:5" ht="16" x14ac:dyDescent="0.2">
      <c r="A356" s="40">
        <v>42984.634722222225</v>
      </c>
      <c r="B356" s="1">
        <v>2468</v>
      </c>
      <c r="C356" s="1">
        <v>2467.5</v>
      </c>
      <c r="D356" s="38">
        <f t="shared" si="5"/>
        <v>-0.5</v>
      </c>
      <c r="E356" s="1">
        <v>-0.44</v>
      </c>
    </row>
    <row r="357" spans="1:5" ht="16" x14ac:dyDescent="0.2">
      <c r="A357" s="40">
        <v>42984.635416666664</v>
      </c>
      <c r="B357" s="1">
        <v>2468</v>
      </c>
      <c r="C357" s="1">
        <v>2467.5</v>
      </c>
      <c r="D357" s="38">
        <f t="shared" si="5"/>
        <v>-0.5</v>
      </c>
      <c r="E357" s="1">
        <v>-0.47</v>
      </c>
    </row>
    <row r="358" spans="1:5" ht="16" x14ac:dyDescent="0.2">
      <c r="A358" s="40">
        <v>42984.636111111111</v>
      </c>
      <c r="B358" s="1">
        <v>2467.94</v>
      </c>
      <c r="C358" s="1">
        <v>2467.5</v>
      </c>
      <c r="D358" s="38">
        <f t="shared" si="5"/>
        <v>-0.44000000000005457</v>
      </c>
      <c r="E358" s="1">
        <v>-0.47</v>
      </c>
    </row>
    <row r="359" spans="1:5" ht="16" x14ac:dyDescent="0.2">
      <c r="A359" s="40">
        <v>42984.636805555558</v>
      </c>
      <c r="B359" s="1">
        <v>2467.89</v>
      </c>
      <c r="C359" s="1">
        <v>2467.5</v>
      </c>
      <c r="D359" s="38">
        <f t="shared" si="5"/>
        <v>-0.38999999999987267</v>
      </c>
      <c r="E359" s="1">
        <v>-0.4</v>
      </c>
    </row>
    <row r="360" spans="1:5" ht="16" x14ac:dyDescent="0.2">
      <c r="A360" s="40">
        <v>42984.637499999997</v>
      </c>
      <c r="B360" s="1">
        <v>2468.1</v>
      </c>
      <c r="C360" s="1">
        <v>2467.5</v>
      </c>
      <c r="D360" s="38">
        <f t="shared" si="5"/>
        <v>-0.59999999999990905</v>
      </c>
      <c r="E360" s="1">
        <v>-0.65</v>
      </c>
    </row>
    <row r="361" spans="1:5" ht="16" x14ac:dyDescent="0.2">
      <c r="A361" s="40">
        <v>42984.638194444444</v>
      </c>
      <c r="B361" s="1">
        <v>2468.4899999999998</v>
      </c>
      <c r="C361" s="1">
        <v>2467.5</v>
      </c>
      <c r="D361" s="38">
        <f t="shared" si="5"/>
        <v>-0.98999999999978172</v>
      </c>
      <c r="E361" s="1">
        <v>-0.96</v>
      </c>
    </row>
    <row r="362" spans="1:5" ht="16" x14ac:dyDescent="0.2">
      <c r="A362" s="40">
        <v>42984.638888888891</v>
      </c>
      <c r="B362" s="1">
        <v>2468.4899999999998</v>
      </c>
      <c r="C362" s="1">
        <v>2467.5</v>
      </c>
      <c r="D362" s="38">
        <f t="shared" si="5"/>
        <v>-0.98999999999978172</v>
      </c>
      <c r="E362" s="1">
        <v>-0.92</v>
      </c>
    </row>
    <row r="363" spans="1:5" ht="16" x14ac:dyDescent="0.2">
      <c r="A363" s="40">
        <v>42984.63958333333</v>
      </c>
      <c r="B363" s="1">
        <v>2469.15</v>
      </c>
      <c r="C363" s="1">
        <v>2467.5</v>
      </c>
      <c r="D363" s="38">
        <f t="shared" si="5"/>
        <v>-1.6500000000000909</v>
      </c>
      <c r="E363" s="1">
        <v>-1.21</v>
      </c>
    </row>
    <row r="364" spans="1:5" ht="16" x14ac:dyDescent="0.2">
      <c r="A364" s="40">
        <v>42984.640277777777</v>
      </c>
      <c r="B364" s="1">
        <v>2469.0500000000002</v>
      </c>
      <c r="C364" s="1">
        <v>2468.1999999999998</v>
      </c>
      <c r="D364" s="38">
        <f t="shared" si="5"/>
        <v>-0.8500000000003638</v>
      </c>
      <c r="E364" s="1">
        <v>-0.83</v>
      </c>
    </row>
    <row r="365" spans="1:5" ht="16" x14ac:dyDescent="0.2">
      <c r="A365" s="40">
        <v>42984.640972222223</v>
      </c>
      <c r="B365" s="1">
        <v>2469.4499999999998</v>
      </c>
      <c r="C365" s="1">
        <v>2468.5</v>
      </c>
      <c r="D365" s="38">
        <f t="shared" si="5"/>
        <v>-0.9499999999998181</v>
      </c>
      <c r="E365" s="1">
        <v>-0.86</v>
      </c>
    </row>
    <row r="366" spans="1:5" ht="16" x14ac:dyDescent="0.2">
      <c r="A366" s="40">
        <v>42984.64166666667</v>
      </c>
      <c r="B366" s="1">
        <v>2469.3200000000002</v>
      </c>
      <c r="C366" s="1">
        <v>2468.6999999999998</v>
      </c>
      <c r="D366" s="38">
        <f t="shared" si="5"/>
        <v>-0.62000000000034561</v>
      </c>
      <c r="E366" s="1">
        <v>-0.61</v>
      </c>
    </row>
    <row r="367" spans="1:5" ht="16" x14ac:dyDescent="0.2">
      <c r="A367" s="40">
        <v>42984.642361111109</v>
      </c>
      <c r="B367" s="1">
        <v>2469.42</v>
      </c>
      <c r="C367" s="1">
        <v>2468.6999999999998</v>
      </c>
      <c r="D367" s="38">
        <f t="shared" si="5"/>
        <v>-0.72000000000025466</v>
      </c>
      <c r="E367" s="1">
        <v>-0.76</v>
      </c>
    </row>
    <row r="368" spans="1:5" ht="16" x14ac:dyDescent="0.2">
      <c r="A368" s="40">
        <v>42984.643055555556</v>
      </c>
      <c r="B368" s="1">
        <v>2469.5300000000002</v>
      </c>
      <c r="C368" s="1">
        <v>2468.6999999999998</v>
      </c>
      <c r="D368" s="38">
        <f t="shared" si="5"/>
        <v>-0.83000000000038199</v>
      </c>
      <c r="E368" s="1">
        <v>-0.89</v>
      </c>
    </row>
    <row r="369" spans="1:5" ht="16" x14ac:dyDescent="0.2">
      <c r="A369" s="40">
        <v>42984.643750000003</v>
      </c>
      <c r="B369" s="1">
        <v>2469.27</v>
      </c>
      <c r="C369" s="1">
        <v>2468.6999999999998</v>
      </c>
      <c r="D369" s="38">
        <f t="shared" si="5"/>
        <v>-0.57000000000016371</v>
      </c>
      <c r="E369" s="1">
        <v>-0.74</v>
      </c>
    </row>
    <row r="370" spans="1:5" ht="16" x14ac:dyDescent="0.2">
      <c r="A370" s="40">
        <v>42984.644444444442</v>
      </c>
      <c r="B370" s="1">
        <v>2469.4899999999998</v>
      </c>
      <c r="C370" s="1">
        <v>2468.6999999999998</v>
      </c>
      <c r="D370" s="38">
        <f t="shared" si="5"/>
        <v>-0.78999999999996362</v>
      </c>
      <c r="E370" s="1">
        <v>-0.83</v>
      </c>
    </row>
    <row r="371" spans="1:5" ht="16" x14ac:dyDescent="0.2">
      <c r="A371" s="40">
        <v>42984.645138888889</v>
      </c>
      <c r="B371" s="1">
        <v>2469.19</v>
      </c>
      <c r="C371" s="1">
        <v>2468.6999999999998</v>
      </c>
      <c r="D371" s="38">
        <f t="shared" si="5"/>
        <v>-0.49000000000023647</v>
      </c>
      <c r="E371" s="1">
        <v>-0.61</v>
      </c>
    </row>
    <row r="372" spans="1:5" ht="16" x14ac:dyDescent="0.2">
      <c r="A372" s="40">
        <v>42984.645833333336</v>
      </c>
      <c r="B372" s="1">
        <v>2468.7600000000002</v>
      </c>
      <c r="C372" s="1">
        <v>2468.1999999999998</v>
      </c>
      <c r="D372" s="38">
        <f t="shared" si="5"/>
        <v>-0.56000000000040018</v>
      </c>
      <c r="E372" s="1">
        <v>-0.1</v>
      </c>
    </row>
    <row r="373" spans="1:5" ht="16" x14ac:dyDescent="0.2">
      <c r="A373" s="40">
        <v>42984.646527777775</v>
      </c>
      <c r="B373" s="1">
        <v>2468.52</v>
      </c>
      <c r="C373" s="1">
        <v>2467.6999999999998</v>
      </c>
      <c r="D373" s="38">
        <f t="shared" si="5"/>
        <v>-0.82000000000016371</v>
      </c>
      <c r="E373" s="1">
        <v>-0.83</v>
      </c>
    </row>
    <row r="374" spans="1:5" ht="16" x14ac:dyDescent="0.2">
      <c r="A374" s="40">
        <v>42984.647222222222</v>
      </c>
      <c r="B374" s="1">
        <v>2467.96</v>
      </c>
      <c r="C374" s="1">
        <v>2467.3000000000002</v>
      </c>
      <c r="D374" s="38">
        <f t="shared" si="5"/>
        <v>-0.65999999999985448</v>
      </c>
      <c r="E374" s="1">
        <v>-0.69</v>
      </c>
    </row>
    <row r="375" spans="1:5" ht="16" x14ac:dyDescent="0.2">
      <c r="A375" s="40">
        <v>42984.647916666669</v>
      </c>
      <c r="B375" s="1">
        <v>2467.69</v>
      </c>
      <c r="C375" s="1">
        <v>2467</v>
      </c>
      <c r="D375" s="38">
        <f t="shared" si="5"/>
        <v>-0.69000000000005457</v>
      </c>
      <c r="E375" s="1">
        <v>-0.8</v>
      </c>
    </row>
    <row r="376" spans="1:5" ht="16" x14ac:dyDescent="0.2">
      <c r="A376" s="40">
        <v>42984.648611111108</v>
      </c>
      <c r="B376" s="1">
        <v>2467.83</v>
      </c>
      <c r="C376" s="1">
        <v>2467</v>
      </c>
      <c r="D376" s="38">
        <f t="shared" si="5"/>
        <v>-0.82999999999992724</v>
      </c>
      <c r="E376" s="1">
        <v>-0.7</v>
      </c>
    </row>
    <row r="377" spans="1:5" ht="16" x14ac:dyDescent="0.2">
      <c r="A377" s="40">
        <v>42984.649305555555</v>
      </c>
      <c r="B377" s="1">
        <v>2467.04</v>
      </c>
      <c r="C377" s="1">
        <v>2466.5</v>
      </c>
      <c r="D377" s="38">
        <f t="shared" si="5"/>
        <v>-0.53999999999996362</v>
      </c>
      <c r="E377" s="1">
        <v>-0.53</v>
      </c>
    </row>
    <row r="378" spans="1:5" ht="16" x14ac:dyDescent="0.2">
      <c r="A378" s="40">
        <v>42984.65</v>
      </c>
      <c r="B378" s="1">
        <v>2467.63</v>
      </c>
      <c r="C378" s="1">
        <v>2466.6999999999998</v>
      </c>
      <c r="D378" s="38">
        <f t="shared" si="5"/>
        <v>-0.93000000000029104</v>
      </c>
      <c r="E378" s="1">
        <v>-0.79</v>
      </c>
    </row>
    <row r="379" spans="1:5" ht="16" x14ac:dyDescent="0.2">
      <c r="A379" s="40">
        <v>42984.650694444441</v>
      </c>
      <c r="B379" s="1">
        <v>2467.4499999999998</v>
      </c>
      <c r="C379" s="1">
        <v>2466.6999999999998</v>
      </c>
      <c r="D379" s="38">
        <f t="shared" si="5"/>
        <v>-0.75</v>
      </c>
      <c r="E379" s="1">
        <v>-0.74</v>
      </c>
    </row>
    <row r="380" spans="1:5" ht="16" x14ac:dyDescent="0.2">
      <c r="A380" s="40">
        <v>42984.651388888888</v>
      </c>
      <c r="B380" s="1">
        <v>2467.35</v>
      </c>
      <c r="C380" s="1">
        <v>2466.6999999999998</v>
      </c>
      <c r="D380" s="38">
        <f t="shared" si="5"/>
        <v>-0.65000000000009095</v>
      </c>
      <c r="E380" s="1">
        <v>-0.73</v>
      </c>
    </row>
    <row r="381" spans="1:5" ht="16" x14ac:dyDescent="0.2">
      <c r="A381" s="40">
        <v>42984.652083333334</v>
      </c>
      <c r="B381" s="1">
        <v>2467.4499999999998</v>
      </c>
      <c r="C381" s="1">
        <v>2466.6999999999998</v>
      </c>
      <c r="D381" s="38">
        <f t="shared" si="5"/>
        <v>-0.75</v>
      </c>
      <c r="E381" s="1">
        <v>-0.81</v>
      </c>
    </row>
    <row r="382" spans="1:5" ht="16" x14ac:dyDescent="0.2">
      <c r="A382" s="40">
        <v>42984.652777777781</v>
      </c>
      <c r="B382" s="1">
        <v>2467.5</v>
      </c>
      <c r="C382" s="1">
        <v>2466.6999999999998</v>
      </c>
      <c r="D382" s="38">
        <f t="shared" si="5"/>
        <v>-0.8000000000001819</v>
      </c>
      <c r="E382" s="1">
        <v>-0.84</v>
      </c>
    </row>
    <row r="383" spans="1:5" ht="16" x14ac:dyDescent="0.2">
      <c r="A383" s="40">
        <v>42984.65347222222</v>
      </c>
      <c r="B383" s="1">
        <v>2468.02</v>
      </c>
      <c r="C383" s="1">
        <v>2467.1999999999998</v>
      </c>
      <c r="D383" s="38">
        <f t="shared" si="5"/>
        <v>-0.82000000000016371</v>
      </c>
      <c r="E383" s="1">
        <v>-1.03</v>
      </c>
    </row>
    <row r="384" spans="1:5" ht="16" x14ac:dyDescent="0.2">
      <c r="A384" s="40">
        <v>42984.654166666667</v>
      </c>
      <c r="B384" s="1">
        <v>2467.79</v>
      </c>
      <c r="C384" s="1">
        <v>2467.1999999999998</v>
      </c>
      <c r="D384" s="38">
        <f t="shared" si="5"/>
        <v>-0.59000000000014552</v>
      </c>
      <c r="E384" s="1">
        <v>-0.68</v>
      </c>
    </row>
    <row r="385" spans="1:5" ht="16" x14ac:dyDescent="0.2">
      <c r="A385" s="40">
        <v>42984.654861111114</v>
      </c>
      <c r="B385" s="1">
        <v>2468.0700000000002</v>
      </c>
      <c r="C385" s="1">
        <v>2467.1999999999998</v>
      </c>
      <c r="D385" s="38">
        <f t="shared" si="5"/>
        <v>-0.87000000000034561</v>
      </c>
      <c r="E385" s="1">
        <v>-0.73</v>
      </c>
    </row>
    <row r="386" spans="1:5" ht="16" x14ac:dyDescent="0.2">
      <c r="A386" s="40">
        <v>42984.655555555553</v>
      </c>
      <c r="B386" s="1">
        <v>2467.35</v>
      </c>
      <c r="C386" s="1">
        <v>2466.5</v>
      </c>
      <c r="D386" s="38">
        <f t="shared" si="5"/>
        <v>-0.84999999999990905</v>
      </c>
      <c r="E386" s="1">
        <v>-0.88</v>
      </c>
    </row>
    <row r="387" spans="1:5" ht="16" x14ac:dyDescent="0.2">
      <c r="A387" s="40">
        <v>42984.65625</v>
      </c>
      <c r="B387" s="1">
        <v>2467.73</v>
      </c>
      <c r="C387" s="1">
        <v>2467</v>
      </c>
      <c r="D387" s="38">
        <f t="shared" si="5"/>
        <v>-0.73000000000001819</v>
      </c>
      <c r="E387" s="1">
        <v>-1.31</v>
      </c>
    </row>
    <row r="388" spans="1:5" ht="16" x14ac:dyDescent="0.2">
      <c r="A388" s="40">
        <v>42984.656944444447</v>
      </c>
      <c r="B388" s="1">
        <v>2467.5</v>
      </c>
      <c r="C388" s="1">
        <v>2467</v>
      </c>
      <c r="D388" s="38">
        <f t="shared" si="5"/>
        <v>-0.5</v>
      </c>
      <c r="E388" s="1">
        <v>-0.6</v>
      </c>
    </row>
    <row r="389" spans="1:5" ht="16" x14ac:dyDescent="0.2">
      <c r="A389" s="40">
        <v>42984.657638888886</v>
      </c>
      <c r="B389" s="1">
        <v>2467.4499999999998</v>
      </c>
      <c r="C389" s="1">
        <v>2466.1999999999998</v>
      </c>
      <c r="D389" s="38">
        <f t="shared" si="5"/>
        <v>-1.25</v>
      </c>
      <c r="E389" s="1">
        <v>-1.29</v>
      </c>
    </row>
    <row r="390" spans="1:5" ht="16" x14ac:dyDescent="0.2">
      <c r="A390" s="40">
        <v>42984.658333333333</v>
      </c>
      <c r="B390" s="1">
        <v>2467.42</v>
      </c>
      <c r="C390" s="1">
        <v>2466.8000000000002</v>
      </c>
      <c r="D390" s="38">
        <f t="shared" si="5"/>
        <v>-0.61999999999989086</v>
      </c>
      <c r="E390" s="1">
        <v>-0.8</v>
      </c>
    </row>
    <row r="391" spans="1:5" ht="16" x14ac:dyDescent="0.2">
      <c r="A391" s="40">
        <v>42984.65902777778</v>
      </c>
      <c r="B391" s="1">
        <v>2466.9899999999998</v>
      </c>
      <c r="C391" s="1">
        <v>2466.3000000000002</v>
      </c>
      <c r="D391" s="38">
        <f t="shared" si="5"/>
        <v>-0.68999999999959982</v>
      </c>
      <c r="E391" s="1">
        <v>-0.5</v>
      </c>
    </row>
    <row r="392" spans="1:5" ht="16" x14ac:dyDescent="0.2">
      <c r="A392" s="40">
        <v>42984.659722222219</v>
      </c>
      <c r="B392" s="1">
        <v>2466.52</v>
      </c>
      <c r="C392" s="1">
        <v>2465.8000000000002</v>
      </c>
      <c r="D392" s="38">
        <f t="shared" si="5"/>
        <v>-0.71999999999979991</v>
      </c>
      <c r="E392" s="1">
        <v>-0.79</v>
      </c>
    </row>
    <row r="393" spans="1:5" ht="16" x14ac:dyDescent="0.2">
      <c r="A393" s="40">
        <v>42984.660416666666</v>
      </c>
      <c r="B393" s="1">
        <v>2466.7399999999998</v>
      </c>
      <c r="C393" s="1">
        <v>2466</v>
      </c>
      <c r="D393" s="38">
        <f t="shared" si="5"/>
        <v>-0.73999999999978172</v>
      </c>
      <c r="E393" s="1">
        <v>-0.77</v>
      </c>
    </row>
    <row r="394" spans="1:5" ht="16" x14ac:dyDescent="0.2">
      <c r="A394" s="40">
        <v>42984.661111111112</v>
      </c>
      <c r="B394" s="1">
        <v>2467.13</v>
      </c>
      <c r="C394" s="1">
        <v>2466</v>
      </c>
      <c r="D394" s="38">
        <f t="shared" si="5"/>
        <v>-1.1300000000001091</v>
      </c>
      <c r="E394" s="1">
        <v>-1.0900000000000001</v>
      </c>
    </row>
    <row r="395" spans="1:5" ht="16" x14ac:dyDescent="0.2">
      <c r="A395" s="40">
        <v>42984.661805555559</v>
      </c>
      <c r="B395" s="1">
        <v>2466.94</v>
      </c>
      <c r="C395" s="1">
        <v>2466.3000000000002</v>
      </c>
      <c r="D395" s="38">
        <f t="shared" si="5"/>
        <v>-0.63999999999987267</v>
      </c>
      <c r="E395" s="1">
        <v>-0.68</v>
      </c>
    </row>
    <row r="396" spans="1:5" ht="16" x14ac:dyDescent="0.2">
      <c r="A396" s="40">
        <v>42984.662499999999</v>
      </c>
      <c r="B396" s="1">
        <v>2466.06</v>
      </c>
      <c r="C396" s="1">
        <v>2465.5</v>
      </c>
      <c r="D396" s="38">
        <f t="shared" si="5"/>
        <v>-0.55999999999994543</v>
      </c>
      <c r="E396" s="1">
        <v>-0.47</v>
      </c>
    </row>
    <row r="397" spans="1:5" ht="16" x14ac:dyDescent="0.2">
      <c r="A397" s="40">
        <v>42984.663194444445</v>
      </c>
      <c r="B397" s="1">
        <v>2465.84</v>
      </c>
      <c r="C397" s="1">
        <v>2465</v>
      </c>
      <c r="D397" s="38">
        <f t="shared" ref="D397:D416" si="6">IF(OR(C397="",B397=""),"",C397-B397)</f>
        <v>-0.84000000000014552</v>
      </c>
      <c r="E397" s="1">
        <v>-0.56000000000000005</v>
      </c>
    </row>
    <row r="398" spans="1:5" ht="16" x14ac:dyDescent="0.2">
      <c r="A398" s="40">
        <v>42984.663888888892</v>
      </c>
      <c r="B398" s="1">
        <v>2465.63</v>
      </c>
      <c r="C398" s="1">
        <v>2465</v>
      </c>
      <c r="D398" s="38">
        <f t="shared" si="6"/>
        <v>-0.63000000000010914</v>
      </c>
      <c r="E398" s="1">
        <v>-0.68</v>
      </c>
    </row>
    <row r="399" spans="1:5" ht="16" x14ac:dyDescent="0.2">
      <c r="A399" s="40">
        <v>42984.664583333331</v>
      </c>
      <c r="B399" s="1">
        <v>2465.56</v>
      </c>
      <c r="C399" s="1">
        <v>2464.5</v>
      </c>
      <c r="D399" s="38">
        <f t="shared" si="6"/>
        <v>-1.0599999999999454</v>
      </c>
      <c r="E399" s="1">
        <v>-1.26</v>
      </c>
    </row>
    <row r="400" spans="1:5" ht="16" x14ac:dyDescent="0.2">
      <c r="A400" s="40">
        <v>42984.665277777778</v>
      </c>
      <c r="B400" s="1">
        <v>2465.36</v>
      </c>
      <c r="C400" s="1">
        <v>2464.5</v>
      </c>
      <c r="D400" s="38">
        <f t="shared" si="6"/>
        <v>-0.86000000000012733</v>
      </c>
      <c r="E400" s="1">
        <v>-0.83</v>
      </c>
    </row>
    <row r="401" spans="1:5" ht="16" x14ac:dyDescent="0.2">
      <c r="A401" s="40">
        <v>42984.665972222225</v>
      </c>
      <c r="B401" s="1">
        <v>2465.79</v>
      </c>
      <c r="C401" s="1">
        <v>2465</v>
      </c>
      <c r="D401" s="38">
        <f t="shared" si="6"/>
        <v>-0.78999999999996362</v>
      </c>
      <c r="E401" s="1">
        <v>-0.51</v>
      </c>
    </row>
    <row r="402" spans="1:5" ht="16" x14ac:dyDescent="0.2">
      <c r="A402" s="40">
        <v>42984.666666666664</v>
      </c>
      <c r="B402" s="1">
        <v>2465.65</v>
      </c>
      <c r="C402" s="1">
        <v>2464</v>
      </c>
      <c r="D402" s="38">
        <f t="shared" si="6"/>
        <v>-1.6500000000000909</v>
      </c>
      <c r="E402" s="1">
        <v>-0.36</v>
      </c>
    </row>
    <row r="403" spans="1:5" ht="16" x14ac:dyDescent="0.2">
      <c r="A403" s="40">
        <v>42984.667361111111</v>
      </c>
      <c r="B403" s="1">
        <v>2465.5500000000002</v>
      </c>
      <c r="C403" s="1">
        <v>2464.1999999999998</v>
      </c>
      <c r="D403" s="38">
        <f t="shared" si="6"/>
        <v>-1.3500000000003638</v>
      </c>
      <c r="E403" s="1">
        <v>-1.36</v>
      </c>
    </row>
    <row r="404" spans="1:5" ht="16" x14ac:dyDescent="0.2">
      <c r="A404" s="40">
        <v>42984.668055555558</v>
      </c>
      <c r="B404" s="1">
        <v>2465.54</v>
      </c>
      <c r="C404" s="1">
        <v>2464.1999999999998</v>
      </c>
      <c r="D404" s="38">
        <f t="shared" si="6"/>
        <v>-1.3400000000001455</v>
      </c>
      <c r="E404" s="1">
        <v>-1.34</v>
      </c>
    </row>
    <row r="405" spans="1:5" ht="16" x14ac:dyDescent="0.2">
      <c r="A405" s="40">
        <v>42984.668749999997</v>
      </c>
      <c r="B405" s="1">
        <v>2465.54</v>
      </c>
      <c r="C405" s="1">
        <v>2464.5</v>
      </c>
      <c r="D405" s="38">
        <f t="shared" si="6"/>
        <v>-1.0399999999999636</v>
      </c>
      <c r="E405" s="1">
        <v>-1.04</v>
      </c>
    </row>
    <row r="406" spans="1:5" ht="16" x14ac:dyDescent="0.2">
      <c r="A406" s="40">
        <v>42984.669444444444</v>
      </c>
      <c r="B406" s="1">
        <v>2465.54</v>
      </c>
      <c r="C406" s="1">
        <v>2464.5</v>
      </c>
      <c r="D406" s="38">
        <f t="shared" si="6"/>
        <v>-1.0399999999999636</v>
      </c>
      <c r="E406" s="1">
        <v>-1.04</v>
      </c>
    </row>
    <row r="407" spans="1:5" ht="16" x14ac:dyDescent="0.2">
      <c r="A407" s="40">
        <v>42984.670138888891</v>
      </c>
      <c r="B407" s="1">
        <v>2465.54</v>
      </c>
      <c r="C407" s="1">
        <v>2464.6999999999998</v>
      </c>
      <c r="D407" s="38">
        <f t="shared" si="6"/>
        <v>-0.84000000000014552</v>
      </c>
      <c r="E407" s="1">
        <v>-1.04</v>
      </c>
    </row>
    <row r="408" spans="1:5" ht="16" x14ac:dyDescent="0.2">
      <c r="A408" s="40">
        <v>42984.67083333333</v>
      </c>
      <c r="B408" s="1">
        <v>2465.54</v>
      </c>
      <c r="C408" s="1">
        <v>2464.6999999999998</v>
      </c>
      <c r="D408" s="38">
        <f t="shared" si="6"/>
        <v>-0.84000000000014552</v>
      </c>
      <c r="E408" s="1">
        <v>-0.84</v>
      </c>
    </row>
    <row r="409" spans="1:5" ht="16" x14ac:dyDescent="0.2">
      <c r="A409" s="40">
        <v>42984.671527777777</v>
      </c>
      <c r="B409" s="1">
        <v>2465.54</v>
      </c>
      <c r="C409" s="1">
        <v>2464.8000000000002</v>
      </c>
      <c r="D409" s="38">
        <f t="shared" si="6"/>
        <v>-0.73999999999978172</v>
      </c>
      <c r="E409" s="1">
        <v>-0.84</v>
      </c>
    </row>
    <row r="410" spans="1:5" ht="16" x14ac:dyDescent="0.2">
      <c r="A410" s="40">
        <v>42984.672222222223</v>
      </c>
      <c r="B410" s="1">
        <v>2465.54</v>
      </c>
      <c r="C410" s="1">
        <v>2464.8000000000002</v>
      </c>
      <c r="D410" s="38">
        <f t="shared" si="6"/>
        <v>-0.73999999999978172</v>
      </c>
      <c r="E410" s="1">
        <v>-0.74</v>
      </c>
    </row>
    <row r="411" spans="1:5" ht="16" x14ac:dyDescent="0.2">
      <c r="A411" s="40">
        <v>42984.67291666667</v>
      </c>
      <c r="B411" s="1">
        <v>2465.54</v>
      </c>
      <c r="C411" s="1">
        <v>2464.8000000000002</v>
      </c>
      <c r="D411" s="38">
        <f t="shared" si="6"/>
        <v>-0.73999999999978172</v>
      </c>
      <c r="E411" s="1">
        <v>-0.74</v>
      </c>
    </row>
    <row r="412" spans="1:5" ht="16" x14ac:dyDescent="0.2">
      <c r="A412" s="40">
        <v>42984.673611111109</v>
      </c>
      <c r="B412" s="1">
        <v>2465.54</v>
      </c>
      <c r="C412" s="1">
        <v>2465.3000000000002</v>
      </c>
      <c r="D412" s="38">
        <f t="shared" si="6"/>
        <v>-0.23999999999978172</v>
      </c>
      <c r="E412" s="1">
        <v>-0.34</v>
      </c>
    </row>
    <row r="413" spans="1:5" ht="16" x14ac:dyDescent="0.2">
      <c r="A413" s="40">
        <v>42984.674305555556</v>
      </c>
      <c r="B413" s="1">
        <v>2465.54</v>
      </c>
      <c r="C413" s="1">
        <v>2465.3000000000002</v>
      </c>
      <c r="D413" s="38">
        <f t="shared" si="6"/>
        <v>-0.23999999999978172</v>
      </c>
      <c r="E413" s="1">
        <v>-0.24</v>
      </c>
    </row>
    <row r="414" spans="1:5" ht="16" x14ac:dyDescent="0.2">
      <c r="A414" s="40">
        <v>42984.675000000003</v>
      </c>
      <c r="B414" s="1">
        <v>2465.54</v>
      </c>
      <c r="C414" s="1">
        <v>2465.3000000000002</v>
      </c>
      <c r="D414" s="38">
        <f t="shared" si="6"/>
        <v>-0.23999999999978172</v>
      </c>
      <c r="E414" s="1">
        <v>-0.24</v>
      </c>
    </row>
    <row r="415" spans="1:5" ht="16" x14ac:dyDescent="0.2">
      <c r="A415" s="40">
        <v>42984.675694444442</v>
      </c>
      <c r="B415" s="1">
        <v>2465.54</v>
      </c>
      <c r="C415" s="1">
        <v>2465.3000000000002</v>
      </c>
      <c r="D415" s="38">
        <f t="shared" si="6"/>
        <v>-0.23999999999978172</v>
      </c>
      <c r="E415" s="1">
        <v>-0.24</v>
      </c>
    </row>
    <row r="416" spans="1:5" ht="16" x14ac:dyDescent="0.2">
      <c r="A416" s="40">
        <v>42984.676388888889</v>
      </c>
      <c r="B416" s="1">
        <v>2465.54</v>
      </c>
      <c r="C416" s="1">
        <v>2465.6</v>
      </c>
      <c r="D416" s="38">
        <f t="shared" si="6"/>
        <v>5.999999999994543E-2</v>
      </c>
      <c r="E416" s="1">
        <v>0.06</v>
      </c>
    </row>
    <row r="417" spans="1:4" ht="16" x14ac:dyDescent="0.2">
      <c r="A417" s="40"/>
      <c r="C417" s="40"/>
      <c r="D417" s="43"/>
    </row>
    <row r="418" spans="1:4" ht="16" x14ac:dyDescent="0.2">
      <c r="A418" s="40"/>
      <c r="D418" s="43"/>
    </row>
    <row r="419" spans="1:4" ht="16" x14ac:dyDescent="0.2">
      <c r="A419" s="40"/>
      <c r="D419" s="43"/>
    </row>
    <row r="420" spans="1:4" ht="16" x14ac:dyDescent="0.2">
      <c r="A420" s="40"/>
      <c r="D420" s="43"/>
    </row>
    <row r="421" spans="1:4" ht="16" x14ac:dyDescent="0.2">
      <c r="A421" s="40"/>
      <c r="D421" s="43"/>
    </row>
    <row r="422" spans="1:4" ht="16" x14ac:dyDescent="0.2">
      <c r="A422" s="40"/>
      <c r="D422" s="43"/>
    </row>
    <row r="423" spans="1:4" ht="16" x14ac:dyDescent="0.2">
      <c r="A423" s="40"/>
      <c r="D423" s="43"/>
    </row>
    <row r="424" spans="1:4" ht="16" x14ac:dyDescent="0.2">
      <c r="A424" s="40"/>
      <c r="D424" s="43"/>
    </row>
    <row r="425" spans="1:4" ht="16" x14ac:dyDescent="0.2">
      <c r="A425" s="40"/>
      <c r="D425" s="43"/>
    </row>
    <row r="426" spans="1:4" ht="16" x14ac:dyDescent="0.2">
      <c r="A426" s="40"/>
      <c r="D426" s="43"/>
    </row>
    <row r="427" spans="1:4" ht="16" x14ac:dyDescent="0.2">
      <c r="A427" s="40"/>
      <c r="D427" s="43"/>
    </row>
    <row r="428" spans="1:4" ht="16" x14ac:dyDescent="0.2">
      <c r="A428" s="40"/>
      <c r="D428" s="43"/>
    </row>
    <row r="429" spans="1:4" ht="16" x14ac:dyDescent="0.2">
      <c r="A429" s="40"/>
      <c r="D429" s="43"/>
    </row>
    <row r="430" spans="1:4" ht="16" x14ac:dyDescent="0.2">
      <c r="A430" s="40"/>
      <c r="D430" s="43"/>
    </row>
    <row r="431" spans="1:4" ht="16" x14ac:dyDescent="0.2">
      <c r="A431" s="40"/>
      <c r="D431" s="43"/>
    </row>
    <row r="432" spans="1:4" ht="16" x14ac:dyDescent="0.2">
      <c r="A432" s="40"/>
      <c r="D432" s="43"/>
    </row>
    <row r="433" spans="1:4" ht="16" x14ac:dyDescent="0.2">
      <c r="A433" s="40"/>
      <c r="D433" s="43"/>
    </row>
    <row r="434" spans="1:4" ht="16" x14ac:dyDescent="0.2">
      <c r="A434" s="40"/>
      <c r="D434" s="43"/>
    </row>
    <row r="435" spans="1:4" ht="16" x14ac:dyDescent="0.2">
      <c r="A435" s="40"/>
      <c r="D435" s="43"/>
    </row>
    <row r="436" spans="1:4" ht="16" x14ac:dyDescent="0.2">
      <c r="A436" s="40"/>
      <c r="D436" s="43"/>
    </row>
    <row r="437" spans="1:4" ht="16" x14ac:dyDescent="0.2">
      <c r="A437" s="40"/>
      <c r="D437" s="43"/>
    </row>
    <row r="438" spans="1:4" ht="16" x14ac:dyDescent="0.2">
      <c r="A438" s="40"/>
      <c r="D438" s="43"/>
    </row>
    <row r="439" spans="1:4" ht="16" x14ac:dyDescent="0.2">
      <c r="A439" s="40"/>
      <c r="D439" s="43"/>
    </row>
    <row r="440" spans="1:4" ht="16" x14ac:dyDescent="0.2">
      <c r="A440" s="40"/>
      <c r="D440" s="43"/>
    </row>
    <row r="441" spans="1:4" ht="16" x14ac:dyDescent="0.2">
      <c r="A441" s="40"/>
      <c r="D441" s="43"/>
    </row>
    <row r="442" spans="1:4" ht="16" x14ac:dyDescent="0.2">
      <c r="A442" s="40"/>
      <c r="D442" s="43"/>
    </row>
    <row r="443" spans="1:4" ht="16" x14ac:dyDescent="0.2">
      <c r="A443" s="40"/>
      <c r="D443" s="43"/>
    </row>
    <row r="444" spans="1:4" ht="16" x14ac:dyDescent="0.2">
      <c r="A444" s="40"/>
      <c r="D444" s="43"/>
    </row>
    <row r="445" spans="1:4" ht="16" x14ac:dyDescent="0.2">
      <c r="A445" s="40"/>
      <c r="D445" s="43"/>
    </row>
    <row r="446" spans="1:4" ht="16" x14ac:dyDescent="0.2">
      <c r="A446" s="40"/>
      <c r="D446" s="43"/>
    </row>
    <row r="447" spans="1:4" ht="16" x14ac:dyDescent="0.2">
      <c r="A447" s="40"/>
      <c r="D447" s="43"/>
    </row>
    <row r="448" spans="1:4" ht="16" x14ac:dyDescent="0.2">
      <c r="A448" s="40"/>
      <c r="D448" s="43"/>
    </row>
    <row r="449" spans="1:4" ht="16" x14ac:dyDescent="0.2">
      <c r="A449" s="40"/>
      <c r="D449" s="43"/>
    </row>
    <row r="450" spans="1:4" ht="16" x14ac:dyDescent="0.2">
      <c r="A450" s="40"/>
      <c r="D450" s="43"/>
    </row>
    <row r="451" spans="1:4" ht="16" x14ac:dyDescent="0.2">
      <c r="A451" s="40"/>
      <c r="D451" s="43"/>
    </row>
    <row r="452" spans="1:4" ht="16" x14ac:dyDescent="0.2">
      <c r="A452" s="40"/>
      <c r="D452" s="43"/>
    </row>
    <row r="453" spans="1:4" ht="16" x14ac:dyDescent="0.2">
      <c r="A453" s="40"/>
      <c r="D453" s="43"/>
    </row>
    <row r="454" spans="1:4" ht="16" x14ac:dyDescent="0.2">
      <c r="A454" s="40"/>
      <c r="D454" s="43"/>
    </row>
    <row r="455" spans="1:4" ht="16" x14ac:dyDescent="0.2">
      <c r="A455" s="40"/>
      <c r="D455" s="43"/>
    </row>
    <row r="456" spans="1:4" ht="16" x14ac:dyDescent="0.2">
      <c r="A456" s="40"/>
      <c r="D456" s="43"/>
    </row>
    <row r="457" spans="1:4" ht="16" x14ac:dyDescent="0.2">
      <c r="A457" s="40"/>
      <c r="D457" s="43"/>
    </row>
    <row r="458" spans="1:4" ht="16" x14ac:dyDescent="0.2">
      <c r="A458" s="40"/>
      <c r="D458" s="43"/>
    </row>
    <row r="459" spans="1:4" ht="16" x14ac:dyDescent="0.2">
      <c r="A459" s="40"/>
      <c r="D459" s="43"/>
    </row>
    <row r="460" spans="1:4" ht="16" x14ac:dyDescent="0.2">
      <c r="A460" s="40"/>
      <c r="D460" s="43"/>
    </row>
    <row r="461" spans="1:4" ht="16" x14ac:dyDescent="0.2">
      <c r="A461" s="40"/>
      <c r="D461" s="43"/>
    </row>
    <row r="462" spans="1:4" ht="16" x14ac:dyDescent="0.2">
      <c r="A462" s="40"/>
      <c r="D462" s="43"/>
    </row>
    <row r="463" spans="1:4" ht="16" x14ac:dyDescent="0.2">
      <c r="A463" s="40"/>
      <c r="D463" s="43"/>
    </row>
    <row r="464" spans="1:4" ht="16" x14ac:dyDescent="0.2">
      <c r="A464" s="40"/>
      <c r="D464" s="43"/>
    </row>
    <row r="465" spans="1:4" ht="16" x14ac:dyDescent="0.2">
      <c r="A465" s="40"/>
      <c r="D465" s="43"/>
    </row>
    <row r="466" spans="1:4" ht="16" x14ac:dyDescent="0.2">
      <c r="A466" s="40"/>
      <c r="D466" s="43"/>
    </row>
    <row r="467" spans="1:4" ht="16" x14ac:dyDescent="0.2">
      <c r="A467" s="40"/>
      <c r="D467" s="43"/>
    </row>
    <row r="468" spans="1:4" ht="16" x14ac:dyDescent="0.2">
      <c r="A468" s="40"/>
      <c r="D468" s="43"/>
    </row>
    <row r="469" spans="1:4" ht="16" x14ac:dyDescent="0.2">
      <c r="A469" s="40"/>
      <c r="D469" s="43"/>
    </row>
    <row r="470" spans="1:4" ht="16" x14ac:dyDescent="0.2">
      <c r="A470" s="40"/>
      <c r="D470" s="43"/>
    </row>
    <row r="471" spans="1:4" ht="16" x14ac:dyDescent="0.2">
      <c r="A471" s="40"/>
      <c r="D471" s="43"/>
    </row>
    <row r="472" spans="1:4" ht="16" x14ac:dyDescent="0.2">
      <c r="A472" s="40"/>
      <c r="D472" s="43"/>
    </row>
    <row r="473" spans="1:4" ht="16" x14ac:dyDescent="0.2">
      <c r="A473" s="40"/>
      <c r="D473" s="43"/>
    </row>
    <row r="474" spans="1:4" ht="16" x14ac:dyDescent="0.2">
      <c r="A474" s="40"/>
      <c r="D474" s="43"/>
    </row>
    <row r="475" spans="1:4" ht="16" x14ac:dyDescent="0.2">
      <c r="A475" s="40"/>
      <c r="D475" s="43"/>
    </row>
    <row r="476" spans="1:4" ht="16" x14ac:dyDescent="0.2">
      <c r="A476" s="40"/>
      <c r="D476" s="43"/>
    </row>
    <row r="477" spans="1:4" ht="16" x14ac:dyDescent="0.2">
      <c r="A477" s="40"/>
      <c r="D477" s="43"/>
    </row>
    <row r="478" spans="1:4" ht="16" x14ac:dyDescent="0.2">
      <c r="A478" s="40"/>
      <c r="D478" s="43"/>
    </row>
    <row r="479" spans="1:4" ht="16" x14ac:dyDescent="0.2">
      <c r="A479" s="40"/>
      <c r="D479" s="43"/>
    </row>
    <row r="480" spans="1:4" ht="16" x14ac:dyDescent="0.2">
      <c r="A480" s="40"/>
      <c r="D480" s="43"/>
    </row>
    <row r="481" spans="1:4" ht="16" x14ac:dyDescent="0.2">
      <c r="A481" s="40"/>
      <c r="D481" s="43"/>
    </row>
    <row r="482" spans="1:4" ht="16" x14ac:dyDescent="0.2">
      <c r="A482" s="40"/>
      <c r="D482" s="43"/>
    </row>
    <row r="483" spans="1:4" ht="16" x14ac:dyDescent="0.2">
      <c r="A483" s="40"/>
      <c r="D483" s="43"/>
    </row>
    <row r="484" spans="1:4" ht="16" x14ac:dyDescent="0.2">
      <c r="A484" s="40"/>
      <c r="D484" s="43"/>
    </row>
    <row r="485" spans="1:4" ht="16" x14ac:dyDescent="0.2">
      <c r="A485" s="40"/>
      <c r="D485" s="43"/>
    </row>
    <row r="486" spans="1:4" ht="16" x14ac:dyDescent="0.2">
      <c r="A486" s="40"/>
      <c r="D486" s="43"/>
    </row>
    <row r="487" spans="1:4" ht="16" x14ac:dyDescent="0.2">
      <c r="A487" s="40"/>
      <c r="D487" s="43"/>
    </row>
    <row r="488" spans="1:4" ht="16" x14ac:dyDescent="0.2">
      <c r="A488" s="40"/>
      <c r="D488" s="43"/>
    </row>
    <row r="489" spans="1:4" ht="16" x14ac:dyDescent="0.2">
      <c r="A489" s="40"/>
      <c r="D489" s="43"/>
    </row>
    <row r="490" spans="1:4" ht="16" x14ac:dyDescent="0.2">
      <c r="A490" s="40"/>
      <c r="D490" s="43"/>
    </row>
    <row r="491" spans="1:4" ht="16" x14ac:dyDescent="0.2">
      <c r="A491" s="40"/>
      <c r="D491" s="43"/>
    </row>
    <row r="492" spans="1:4" ht="16" x14ac:dyDescent="0.2">
      <c r="A492" s="40"/>
      <c r="D492" s="43"/>
    </row>
    <row r="493" spans="1:4" ht="16" x14ac:dyDescent="0.2">
      <c r="A493" s="40"/>
      <c r="D493" s="43"/>
    </row>
    <row r="494" spans="1:4" ht="16" x14ac:dyDescent="0.2">
      <c r="A494" s="40"/>
      <c r="D494" s="43"/>
    </row>
    <row r="495" spans="1:4" ht="16" x14ac:dyDescent="0.2">
      <c r="A495" s="40"/>
      <c r="D495" s="43"/>
    </row>
    <row r="496" spans="1:4" ht="16" x14ac:dyDescent="0.2">
      <c r="A496" s="40"/>
      <c r="D496" s="43"/>
    </row>
    <row r="497" spans="1:4" ht="16" x14ac:dyDescent="0.2">
      <c r="A497" s="40"/>
      <c r="D497" s="43"/>
    </row>
    <row r="498" spans="1:4" ht="16" x14ac:dyDescent="0.2">
      <c r="A498" s="40"/>
      <c r="D498" s="43"/>
    </row>
    <row r="499" spans="1:4" ht="16" x14ac:dyDescent="0.2">
      <c r="A499" s="40"/>
      <c r="D499" s="43"/>
    </row>
    <row r="500" spans="1:4" ht="16" x14ac:dyDescent="0.2">
      <c r="A500" s="40"/>
      <c r="D500" s="43"/>
    </row>
    <row r="501" spans="1:4" ht="16" x14ac:dyDescent="0.2">
      <c r="A501" s="40"/>
      <c r="D501" s="43"/>
    </row>
    <row r="502" spans="1:4" ht="16" x14ac:dyDescent="0.2">
      <c r="A502" s="40"/>
      <c r="D502" s="43"/>
    </row>
    <row r="503" spans="1:4" ht="16" x14ac:dyDescent="0.2">
      <c r="A503" s="40"/>
      <c r="D503" s="43"/>
    </row>
    <row r="504" spans="1:4" ht="16" x14ac:dyDescent="0.2">
      <c r="A504" s="40"/>
      <c r="D504" s="43"/>
    </row>
    <row r="505" spans="1:4" ht="16" x14ac:dyDescent="0.2">
      <c r="A505" s="40"/>
      <c r="D505" s="43"/>
    </row>
    <row r="506" spans="1:4" ht="16" x14ac:dyDescent="0.2">
      <c r="A506" s="40"/>
      <c r="D506" s="43"/>
    </row>
    <row r="507" spans="1:4" ht="16" x14ac:dyDescent="0.2">
      <c r="A507" s="40"/>
      <c r="D507" s="43"/>
    </row>
    <row r="508" spans="1:4" ht="16" x14ac:dyDescent="0.2">
      <c r="A508" s="40"/>
      <c r="D508" s="43"/>
    </row>
    <row r="509" spans="1:4" ht="16" x14ac:dyDescent="0.2">
      <c r="A509" s="40"/>
      <c r="D509" s="43"/>
    </row>
    <row r="510" spans="1:4" ht="16" x14ac:dyDescent="0.2">
      <c r="A510" s="40"/>
      <c r="D510" s="43"/>
    </row>
    <row r="511" spans="1:4" ht="16" x14ac:dyDescent="0.2">
      <c r="A511" s="40"/>
      <c r="D511" s="43"/>
    </row>
    <row r="512" spans="1:4" ht="16" x14ac:dyDescent="0.2">
      <c r="A512" s="40"/>
      <c r="D512" s="43"/>
    </row>
    <row r="513" spans="1:4" ht="16" x14ac:dyDescent="0.2">
      <c r="A513" s="40"/>
      <c r="D513" s="43"/>
    </row>
    <row r="514" spans="1:4" ht="16" x14ac:dyDescent="0.2">
      <c r="A514" s="40"/>
      <c r="D514" s="43"/>
    </row>
    <row r="515" spans="1:4" ht="16" x14ac:dyDescent="0.2">
      <c r="A515" s="40"/>
      <c r="D515" s="43"/>
    </row>
    <row r="516" spans="1:4" ht="16" x14ac:dyDescent="0.2">
      <c r="A516" s="40"/>
      <c r="D516" s="43"/>
    </row>
    <row r="517" spans="1:4" ht="16" x14ac:dyDescent="0.2">
      <c r="A517" s="40"/>
      <c r="D517" s="43"/>
    </row>
    <row r="518" spans="1:4" ht="16" x14ac:dyDescent="0.2">
      <c r="A518" s="40"/>
      <c r="D518" s="43"/>
    </row>
    <row r="519" spans="1:4" ht="16" x14ac:dyDescent="0.2">
      <c r="A519" s="40"/>
      <c r="D519" s="43"/>
    </row>
    <row r="520" spans="1:4" ht="16" x14ac:dyDescent="0.2">
      <c r="A520" s="40"/>
      <c r="D520" s="43"/>
    </row>
    <row r="521" spans="1:4" ht="16" x14ac:dyDescent="0.2">
      <c r="A521" s="40"/>
      <c r="D521" s="43"/>
    </row>
    <row r="522" spans="1:4" ht="16" x14ac:dyDescent="0.2">
      <c r="A522" s="40"/>
      <c r="D522" s="43"/>
    </row>
    <row r="523" spans="1:4" ht="16" x14ac:dyDescent="0.2">
      <c r="A523" s="40"/>
      <c r="D523" s="43"/>
    </row>
    <row r="524" spans="1:4" ht="16" x14ac:dyDescent="0.2">
      <c r="A524" s="40"/>
      <c r="D524" s="43"/>
    </row>
    <row r="525" spans="1:4" ht="16" x14ac:dyDescent="0.2">
      <c r="A525" s="40"/>
      <c r="D525" s="43"/>
    </row>
    <row r="526" spans="1:4" ht="16" x14ac:dyDescent="0.2">
      <c r="A526" s="40"/>
      <c r="D526" s="43"/>
    </row>
    <row r="527" spans="1:4" ht="16" x14ac:dyDescent="0.2">
      <c r="A527" s="40"/>
      <c r="D527" s="43"/>
    </row>
    <row r="528" spans="1:4" ht="16" x14ac:dyDescent="0.2">
      <c r="A528" s="40"/>
      <c r="D528" s="43"/>
    </row>
    <row r="529" spans="1:4" ht="16" x14ac:dyDescent="0.2">
      <c r="A529" s="40"/>
      <c r="D529" s="43"/>
    </row>
    <row r="530" spans="1:4" ht="16" x14ac:dyDescent="0.2">
      <c r="A530" s="40"/>
      <c r="D530" s="43"/>
    </row>
    <row r="531" spans="1:4" ht="16" x14ac:dyDescent="0.2">
      <c r="A531" s="40"/>
      <c r="D531" s="43"/>
    </row>
    <row r="532" spans="1:4" ht="16" x14ac:dyDescent="0.2">
      <c r="A532" s="40"/>
      <c r="D532" s="43"/>
    </row>
    <row r="533" spans="1:4" ht="16" x14ac:dyDescent="0.2">
      <c r="A533" s="40"/>
      <c r="D533" s="43"/>
    </row>
    <row r="534" spans="1:4" ht="16" x14ac:dyDescent="0.2">
      <c r="A534" s="40"/>
      <c r="D534" s="43"/>
    </row>
    <row r="535" spans="1:4" ht="16" x14ac:dyDescent="0.2">
      <c r="A535" s="40"/>
      <c r="D535" s="43"/>
    </row>
    <row r="536" spans="1:4" ht="16" x14ac:dyDescent="0.2">
      <c r="A536" s="40"/>
      <c r="D536" s="43"/>
    </row>
    <row r="537" spans="1:4" ht="16" x14ac:dyDescent="0.2">
      <c r="A537" s="40"/>
      <c r="D537" s="43"/>
    </row>
    <row r="538" spans="1:4" ht="16" x14ac:dyDescent="0.2">
      <c r="A538" s="40"/>
      <c r="D538" s="43"/>
    </row>
    <row r="539" spans="1:4" ht="16" x14ac:dyDescent="0.2">
      <c r="A539" s="40"/>
      <c r="D539" s="43"/>
    </row>
    <row r="540" spans="1:4" ht="16" x14ac:dyDescent="0.2">
      <c r="A540" s="40"/>
      <c r="D540" s="43"/>
    </row>
    <row r="541" spans="1:4" ht="16" x14ac:dyDescent="0.2">
      <c r="A541" s="40"/>
      <c r="D541" s="43"/>
    </row>
    <row r="542" spans="1:4" ht="16" x14ac:dyDescent="0.2">
      <c r="A542" s="40"/>
      <c r="D542" s="43"/>
    </row>
    <row r="543" spans="1:4" ht="16" x14ac:dyDescent="0.2">
      <c r="A543" s="40"/>
      <c r="D543" s="43"/>
    </row>
    <row r="544" spans="1:4" ht="16" x14ac:dyDescent="0.2">
      <c r="A544" s="40"/>
      <c r="D544" s="43"/>
    </row>
    <row r="545" spans="1:4" ht="16" x14ac:dyDescent="0.2">
      <c r="A545" s="40"/>
      <c r="D545" s="43"/>
    </row>
    <row r="546" spans="1:4" ht="16" x14ac:dyDescent="0.2">
      <c r="A546" s="40"/>
      <c r="D546" s="43"/>
    </row>
    <row r="547" spans="1:4" ht="16" x14ac:dyDescent="0.2">
      <c r="A547" s="40"/>
      <c r="C547" s="40"/>
      <c r="D547" s="43"/>
    </row>
    <row r="548" spans="1:4" ht="16" x14ac:dyDescent="0.2">
      <c r="A548" s="40"/>
      <c r="C548" s="40"/>
      <c r="D548" s="43"/>
    </row>
    <row r="549" spans="1:4" x14ac:dyDescent="0.15">
      <c r="A549" s="40"/>
      <c r="C549" s="40"/>
    </row>
    <row r="550" spans="1:4" x14ac:dyDescent="0.15">
      <c r="A550" s="40"/>
      <c r="C550" s="40"/>
    </row>
    <row r="551" spans="1:4" x14ac:dyDescent="0.15">
      <c r="A551" s="40"/>
      <c r="C551" s="40"/>
    </row>
    <row r="552" spans="1:4" x14ac:dyDescent="0.15">
      <c r="A552" s="40"/>
      <c r="C552" s="40"/>
    </row>
    <row r="553" spans="1:4" x14ac:dyDescent="0.15">
      <c r="A553" s="40"/>
      <c r="C553" s="40"/>
    </row>
    <row r="554" spans="1:4" x14ac:dyDescent="0.15">
      <c r="A554" s="40"/>
      <c r="C554" s="40"/>
    </row>
    <row r="555" spans="1:4" x14ac:dyDescent="0.15">
      <c r="A555" s="40"/>
      <c r="C555" s="40"/>
    </row>
    <row r="556" spans="1:4" x14ac:dyDescent="0.15">
      <c r="A556" s="40"/>
      <c r="C556" s="40"/>
    </row>
    <row r="557" spans="1:4" x14ac:dyDescent="0.15">
      <c r="A557" s="40"/>
      <c r="C557" s="40"/>
    </row>
    <row r="558" spans="1:4" x14ac:dyDescent="0.15">
      <c r="A558" s="40"/>
      <c r="C558" s="40"/>
    </row>
    <row r="559" spans="1:4" x14ac:dyDescent="0.15">
      <c r="A559" s="40"/>
      <c r="C559" s="40"/>
    </row>
    <row r="560" spans="1:4" x14ac:dyDescent="0.15">
      <c r="A560" s="40"/>
      <c r="C560" s="40"/>
    </row>
    <row r="561" spans="1:3" x14ac:dyDescent="0.15">
      <c r="A561" s="40"/>
      <c r="C561" s="40"/>
    </row>
    <row r="562" spans="1:3" x14ac:dyDescent="0.15">
      <c r="A562" s="40"/>
      <c r="C562" s="40"/>
    </row>
    <row r="563" spans="1:3" x14ac:dyDescent="0.15">
      <c r="A563" s="40"/>
      <c r="C563" s="40"/>
    </row>
    <row r="564" spans="1:3" x14ac:dyDescent="0.15">
      <c r="A564" s="40"/>
      <c r="C564" s="40"/>
    </row>
    <row r="565" spans="1:3" x14ac:dyDescent="0.15">
      <c r="A565" s="40"/>
      <c r="C565" s="40"/>
    </row>
    <row r="566" spans="1:3" x14ac:dyDescent="0.15">
      <c r="A566" s="40"/>
      <c r="C566" s="40"/>
    </row>
    <row r="567" spans="1:3" x14ac:dyDescent="0.15">
      <c r="A567" s="40"/>
      <c r="C567" s="40"/>
    </row>
    <row r="568" spans="1:3" x14ac:dyDescent="0.15">
      <c r="A568" s="40"/>
      <c r="C568" s="40"/>
    </row>
    <row r="569" spans="1:3" x14ac:dyDescent="0.15">
      <c r="A569" s="40"/>
      <c r="C569" s="40"/>
    </row>
    <row r="570" spans="1:3" x14ac:dyDescent="0.15">
      <c r="A570" s="40"/>
      <c r="C570" s="40"/>
    </row>
    <row r="571" spans="1:3" x14ac:dyDescent="0.15">
      <c r="A571" s="40"/>
      <c r="C571" s="40"/>
    </row>
    <row r="572" spans="1:3" x14ac:dyDescent="0.15">
      <c r="A572" s="40"/>
      <c r="C572" s="40"/>
    </row>
    <row r="573" spans="1:3" x14ac:dyDescent="0.15">
      <c r="A573" s="40"/>
      <c r="C573" s="40"/>
    </row>
    <row r="574" spans="1:3" x14ac:dyDescent="0.15">
      <c r="A574" s="40"/>
      <c r="C574" s="40"/>
    </row>
    <row r="575" spans="1:3" x14ac:dyDescent="0.15">
      <c r="A575" s="40"/>
      <c r="C575" s="40"/>
    </row>
    <row r="576" spans="1:3" x14ac:dyDescent="0.15">
      <c r="A576" s="40"/>
      <c r="C576" s="40"/>
    </row>
    <row r="577" spans="1:3" x14ac:dyDescent="0.15">
      <c r="A577" s="40"/>
      <c r="C577" s="40"/>
    </row>
    <row r="578" spans="1:3" x14ac:dyDescent="0.15">
      <c r="A578" s="40"/>
      <c r="C578" s="40"/>
    </row>
    <row r="579" spans="1:3" x14ac:dyDescent="0.15">
      <c r="A579" s="40"/>
      <c r="C579" s="40"/>
    </row>
    <row r="580" spans="1:3" x14ac:dyDescent="0.15">
      <c r="A580" s="40"/>
      <c r="C580" s="40"/>
    </row>
    <row r="581" spans="1:3" x14ac:dyDescent="0.15">
      <c r="A581" s="40"/>
      <c r="C581" s="40"/>
    </row>
    <row r="582" spans="1:3" x14ac:dyDescent="0.15">
      <c r="A582" s="40"/>
      <c r="C582" s="40"/>
    </row>
    <row r="583" spans="1:3" x14ac:dyDescent="0.15">
      <c r="A583" s="40"/>
      <c r="C583" s="40"/>
    </row>
    <row r="584" spans="1:3" x14ac:dyDescent="0.15">
      <c r="A584" s="40"/>
      <c r="C584" s="40"/>
    </row>
    <row r="585" spans="1:3" x14ac:dyDescent="0.15">
      <c r="A585" s="40"/>
      <c r="C585" s="40"/>
    </row>
    <row r="586" spans="1:3" x14ac:dyDescent="0.15">
      <c r="A586" s="40"/>
      <c r="C586" s="40"/>
    </row>
    <row r="587" spans="1:3" x14ac:dyDescent="0.15">
      <c r="A587" s="40"/>
      <c r="C587" s="40"/>
    </row>
    <row r="588" spans="1:3" x14ac:dyDescent="0.15">
      <c r="A588" s="40"/>
      <c r="C588" s="40"/>
    </row>
    <row r="589" spans="1:3" x14ac:dyDescent="0.15">
      <c r="A589" s="40"/>
      <c r="C589" s="40"/>
    </row>
    <row r="590" spans="1:3" x14ac:dyDescent="0.15">
      <c r="A590" s="40"/>
      <c r="C590" s="40"/>
    </row>
    <row r="591" spans="1:3" x14ac:dyDescent="0.15">
      <c r="A591" s="40"/>
      <c r="C591" s="40"/>
    </row>
    <row r="592" spans="1:3" x14ac:dyDescent="0.15">
      <c r="A592" s="40"/>
      <c r="C592" s="40"/>
    </row>
    <row r="593" spans="1:3" x14ac:dyDescent="0.15">
      <c r="A593" s="40"/>
      <c r="C593" s="40"/>
    </row>
    <row r="594" spans="1:3" x14ac:dyDescent="0.15">
      <c r="A594" s="40"/>
      <c r="C594" s="40"/>
    </row>
    <row r="595" spans="1:3" x14ac:dyDescent="0.15">
      <c r="A595" s="40"/>
      <c r="C595" s="40"/>
    </row>
    <row r="596" spans="1:3" x14ac:dyDescent="0.15">
      <c r="A596" s="40"/>
      <c r="C596" s="40"/>
    </row>
    <row r="597" spans="1:3" x14ac:dyDescent="0.15">
      <c r="A597" s="40"/>
      <c r="C597" s="40"/>
    </row>
    <row r="598" spans="1:3" x14ac:dyDescent="0.15">
      <c r="A598" s="40"/>
      <c r="C598" s="40"/>
    </row>
    <row r="599" spans="1:3" x14ac:dyDescent="0.15">
      <c r="A599" s="40"/>
      <c r="C599" s="40"/>
    </row>
    <row r="600" spans="1:3" x14ac:dyDescent="0.15">
      <c r="A600" s="40"/>
      <c r="C600" s="40"/>
    </row>
    <row r="601" spans="1:3" x14ac:dyDescent="0.15">
      <c r="A601" s="40"/>
      <c r="C601" s="40"/>
    </row>
    <row r="602" spans="1:3" x14ac:dyDescent="0.15">
      <c r="A602" s="40"/>
      <c r="C602" s="40"/>
    </row>
    <row r="603" spans="1:3" x14ac:dyDescent="0.15">
      <c r="A603" s="40"/>
      <c r="C603" s="40"/>
    </row>
    <row r="604" spans="1:3" x14ac:dyDescent="0.15">
      <c r="A604" s="40"/>
      <c r="C604" s="40"/>
    </row>
    <row r="605" spans="1:3" x14ac:dyDescent="0.15">
      <c r="A605" s="40"/>
      <c r="C605" s="40"/>
    </row>
    <row r="606" spans="1:3" x14ac:dyDescent="0.15">
      <c r="A606" s="40"/>
      <c r="C606" s="40"/>
    </row>
    <row r="607" spans="1:3" x14ac:dyDescent="0.15">
      <c r="A607" s="40"/>
      <c r="C607" s="40"/>
    </row>
    <row r="608" spans="1:3" x14ac:dyDescent="0.15">
      <c r="A608" s="40"/>
      <c r="C608" s="40"/>
    </row>
    <row r="609" spans="1:3" x14ac:dyDescent="0.15">
      <c r="A609" s="40"/>
      <c r="C609" s="40"/>
    </row>
    <row r="610" spans="1:3" x14ac:dyDescent="0.15">
      <c r="A610" s="40"/>
      <c r="C610" s="40"/>
    </row>
    <row r="611" spans="1:3" x14ac:dyDescent="0.15">
      <c r="A611" s="40"/>
      <c r="C611" s="40"/>
    </row>
    <row r="612" spans="1:3" x14ac:dyDescent="0.15">
      <c r="A612" s="40"/>
      <c r="C612" s="40"/>
    </row>
    <row r="613" spans="1:3" x14ac:dyDescent="0.15">
      <c r="A613" s="40"/>
      <c r="C613" s="40"/>
    </row>
    <row r="614" spans="1:3" x14ac:dyDescent="0.15">
      <c r="A614" s="40"/>
      <c r="C614" s="40"/>
    </row>
    <row r="615" spans="1:3" x14ac:dyDescent="0.15">
      <c r="A615" s="40"/>
      <c r="C615" s="40"/>
    </row>
    <row r="616" spans="1:3" x14ac:dyDescent="0.15">
      <c r="A616" s="40"/>
      <c r="C616" s="40"/>
    </row>
    <row r="617" spans="1:3" x14ac:dyDescent="0.15">
      <c r="A617" s="40"/>
      <c r="C617" s="40"/>
    </row>
    <row r="618" spans="1:3" x14ac:dyDescent="0.15">
      <c r="A618" s="40"/>
      <c r="C618" s="40"/>
    </row>
    <row r="619" spans="1:3" x14ac:dyDescent="0.15">
      <c r="A619" s="40"/>
      <c r="C619" s="40"/>
    </row>
    <row r="620" spans="1:3" x14ac:dyDescent="0.15">
      <c r="A620" s="40"/>
      <c r="C620" s="40"/>
    </row>
    <row r="621" spans="1:3" x14ac:dyDescent="0.15">
      <c r="A621" s="40"/>
      <c r="C621" s="40"/>
    </row>
    <row r="622" spans="1:3" x14ac:dyDescent="0.15">
      <c r="A622" s="40"/>
      <c r="C622" s="40"/>
    </row>
    <row r="623" spans="1:3" x14ac:dyDescent="0.15">
      <c r="A623" s="40"/>
      <c r="C623" s="40"/>
    </row>
    <row r="624" spans="1:3" x14ac:dyDescent="0.15">
      <c r="A624" s="40"/>
      <c r="C624" s="40"/>
    </row>
    <row r="625" spans="1:3" x14ac:dyDescent="0.15">
      <c r="A625" s="40"/>
      <c r="C625" s="40"/>
    </row>
    <row r="626" spans="1:3" x14ac:dyDescent="0.15">
      <c r="A626" s="40"/>
      <c r="C626" s="40"/>
    </row>
    <row r="627" spans="1:3" x14ac:dyDescent="0.15">
      <c r="A627" s="40"/>
      <c r="C627" s="40"/>
    </row>
    <row r="628" spans="1:3" x14ac:dyDescent="0.15">
      <c r="A628" s="40"/>
      <c r="C628" s="40"/>
    </row>
    <row r="629" spans="1:3" x14ac:dyDescent="0.15">
      <c r="A629" s="40"/>
      <c r="C629" s="40"/>
    </row>
    <row r="630" spans="1:3" x14ac:dyDescent="0.15">
      <c r="A630" s="40"/>
      <c r="C630" s="40"/>
    </row>
    <row r="631" spans="1:3" x14ac:dyDescent="0.15">
      <c r="A631" s="40"/>
      <c r="C631" s="40"/>
    </row>
    <row r="632" spans="1:3" x14ac:dyDescent="0.15">
      <c r="A632" s="40"/>
      <c r="C632" s="40"/>
    </row>
    <row r="633" spans="1:3" x14ac:dyDescent="0.15">
      <c r="A633" s="40"/>
      <c r="C633" s="40"/>
    </row>
    <row r="634" spans="1:3" x14ac:dyDescent="0.15">
      <c r="A634" s="40"/>
      <c r="C634" s="40"/>
    </row>
    <row r="635" spans="1:3" x14ac:dyDescent="0.15">
      <c r="A635" s="40"/>
      <c r="C635" s="40"/>
    </row>
    <row r="636" spans="1:3" x14ac:dyDescent="0.15">
      <c r="A636" s="40"/>
      <c r="C636" s="40"/>
    </row>
    <row r="637" spans="1:3" x14ac:dyDescent="0.15">
      <c r="A637" s="40"/>
      <c r="C637" s="40"/>
    </row>
    <row r="638" spans="1:3" x14ac:dyDescent="0.15">
      <c r="A638" s="40"/>
      <c r="C638" s="40"/>
    </row>
    <row r="639" spans="1:3" x14ac:dyDescent="0.15">
      <c r="A639" s="40"/>
      <c r="C639" s="40"/>
    </row>
    <row r="640" spans="1:3" x14ac:dyDescent="0.15">
      <c r="A640" s="40"/>
      <c r="C640" s="40"/>
    </row>
    <row r="641" spans="1:3" x14ac:dyDescent="0.15">
      <c r="A641" s="40"/>
      <c r="C641" s="40"/>
    </row>
    <row r="642" spans="1:3" x14ac:dyDescent="0.15">
      <c r="A642" s="40"/>
      <c r="C642" s="40"/>
    </row>
    <row r="643" spans="1:3" x14ac:dyDescent="0.15">
      <c r="A643" s="40"/>
      <c r="C643" s="40"/>
    </row>
    <row r="644" spans="1:3" x14ac:dyDescent="0.15">
      <c r="A644" s="40"/>
      <c r="C644" s="40"/>
    </row>
    <row r="645" spans="1:3" x14ac:dyDescent="0.15">
      <c r="A645" s="40"/>
      <c r="C645" s="40"/>
    </row>
    <row r="646" spans="1:3" x14ac:dyDescent="0.15">
      <c r="A646" s="40"/>
      <c r="C646" s="40"/>
    </row>
    <row r="647" spans="1:3" x14ac:dyDescent="0.15">
      <c r="A647" s="40"/>
      <c r="C647" s="40"/>
    </row>
    <row r="648" spans="1:3" x14ac:dyDescent="0.15">
      <c r="A648" s="40"/>
      <c r="C648" s="40"/>
    </row>
    <row r="649" spans="1:3" x14ac:dyDescent="0.15">
      <c r="A649" s="40"/>
      <c r="C649" s="40"/>
    </row>
    <row r="650" spans="1:3" x14ac:dyDescent="0.15">
      <c r="A650" s="40"/>
      <c r="C650" s="40"/>
    </row>
    <row r="651" spans="1:3" x14ac:dyDescent="0.15">
      <c r="A651" s="40"/>
      <c r="C651" s="40"/>
    </row>
    <row r="652" spans="1:3" x14ac:dyDescent="0.15">
      <c r="A652" s="40"/>
      <c r="C652" s="40"/>
    </row>
    <row r="653" spans="1:3" x14ac:dyDescent="0.15">
      <c r="A653" s="40"/>
      <c r="C653" s="40"/>
    </row>
    <row r="654" spans="1:3" x14ac:dyDescent="0.15">
      <c r="A654" s="40"/>
      <c r="C654" s="40"/>
    </row>
    <row r="655" spans="1:3" x14ac:dyDescent="0.15">
      <c r="A655" s="40"/>
      <c r="C655" s="40"/>
    </row>
    <row r="656" spans="1:3" x14ac:dyDescent="0.15">
      <c r="A656" s="40"/>
      <c r="C656" s="40"/>
    </row>
    <row r="657" spans="1:3" x14ac:dyDescent="0.15">
      <c r="A657" s="40"/>
      <c r="C657" s="40"/>
    </row>
    <row r="658" spans="1:3" x14ac:dyDescent="0.15">
      <c r="A658" s="40"/>
      <c r="C658" s="40"/>
    </row>
    <row r="659" spans="1:3" x14ac:dyDescent="0.15">
      <c r="A659" s="40"/>
      <c r="C659" s="40"/>
    </row>
    <row r="660" spans="1:3" x14ac:dyDescent="0.15">
      <c r="A660" s="40"/>
      <c r="C660" s="40"/>
    </row>
    <row r="661" spans="1:3" x14ac:dyDescent="0.15">
      <c r="A661" s="40"/>
      <c r="C661" s="40"/>
    </row>
    <row r="662" spans="1:3" x14ac:dyDescent="0.15">
      <c r="A662" s="40"/>
      <c r="C662" s="40"/>
    </row>
    <row r="663" spans="1:3" x14ac:dyDescent="0.15">
      <c r="A663" s="40"/>
      <c r="C663" s="40"/>
    </row>
    <row r="664" spans="1:3" x14ac:dyDescent="0.15">
      <c r="A664" s="40"/>
      <c r="C664" s="40"/>
    </row>
    <row r="665" spans="1:3" x14ac:dyDescent="0.15">
      <c r="A665" s="40"/>
      <c r="C665" s="40"/>
    </row>
    <row r="666" spans="1:3" x14ac:dyDescent="0.15">
      <c r="A666" s="40"/>
      <c r="C666" s="40"/>
    </row>
    <row r="667" spans="1:3" x14ac:dyDescent="0.15">
      <c r="A667" s="40"/>
      <c r="C667" s="40"/>
    </row>
    <row r="668" spans="1:3" x14ac:dyDescent="0.15">
      <c r="A668" s="40"/>
      <c r="C668" s="40"/>
    </row>
    <row r="669" spans="1:3" x14ac:dyDescent="0.15">
      <c r="A669" s="40"/>
      <c r="C669" s="40"/>
    </row>
    <row r="670" spans="1:3" x14ac:dyDescent="0.15">
      <c r="A670" s="40"/>
      <c r="C670" s="40"/>
    </row>
    <row r="671" spans="1:3" x14ac:dyDescent="0.15">
      <c r="A671" s="40"/>
      <c r="C671" s="40"/>
    </row>
    <row r="672" spans="1:3" x14ac:dyDescent="0.15">
      <c r="A672" s="40"/>
      <c r="C672" s="40"/>
    </row>
    <row r="673" spans="1:3" x14ac:dyDescent="0.15">
      <c r="A673" s="40"/>
      <c r="C673" s="40"/>
    </row>
    <row r="674" spans="1:3" x14ac:dyDescent="0.15">
      <c r="A674" s="40"/>
      <c r="C674" s="40"/>
    </row>
    <row r="675" spans="1:3" x14ac:dyDescent="0.15">
      <c r="A675" s="40"/>
      <c r="C675" s="40"/>
    </row>
    <row r="676" spans="1:3" x14ac:dyDescent="0.15">
      <c r="A676" s="40"/>
      <c r="C676" s="40"/>
    </row>
    <row r="677" spans="1:3" x14ac:dyDescent="0.15">
      <c r="A677" s="40"/>
      <c r="C677" s="40"/>
    </row>
    <row r="678" spans="1:3" x14ac:dyDescent="0.15">
      <c r="A678" s="40"/>
      <c r="C678" s="40"/>
    </row>
    <row r="679" spans="1:3" x14ac:dyDescent="0.15">
      <c r="A679" s="40"/>
      <c r="C679" s="40"/>
    </row>
    <row r="680" spans="1:3" x14ac:dyDescent="0.15">
      <c r="A680" s="40"/>
      <c r="C680" s="40"/>
    </row>
    <row r="681" spans="1:3" x14ac:dyDescent="0.15">
      <c r="A681" s="40"/>
      <c r="C681" s="40"/>
    </row>
    <row r="682" spans="1:3" x14ac:dyDescent="0.15">
      <c r="A682" s="40"/>
      <c r="C682" s="40"/>
    </row>
    <row r="683" spans="1:3" x14ac:dyDescent="0.15">
      <c r="A683" s="40"/>
      <c r="C683" s="40"/>
    </row>
    <row r="684" spans="1:3" x14ac:dyDescent="0.15">
      <c r="A684" s="40"/>
      <c r="C684" s="40"/>
    </row>
    <row r="685" spans="1:3" x14ac:dyDescent="0.15">
      <c r="A685" s="40"/>
      <c r="C685" s="40"/>
    </row>
    <row r="686" spans="1:3" x14ac:dyDescent="0.15">
      <c r="A686" s="40"/>
      <c r="C686" s="40"/>
    </row>
    <row r="687" spans="1:3" x14ac:dyDescent="0.15">
      <c r="A687" s="40"/>
      <c r="C687" s="40"/>
    </row>
    <row r="688" spans="1:3" x14ac:dyDescent="0.15">
      <c r="A688" s="40"/>
      <c r="C688" s="40"/>
    </row>
    <row r="689" spans="1:3" x14ac:dyDescent="0.15">
      <c r="A689" s="40"/>
      <c r="C689" s="40"/>
    </row>
    <row r="690" spans="1:3" x14ac:dyDescent="0.15">
      <c r="A690" s="40"/>
      <c r="C690" s="40"/>
    </row>
    <row r="691" spans="1:3" x14ac:dyDescent="0.15">
      <c r="A691" s="40"/>
      <c r="C691" s="40"/>
    </row>
    <row r="692" spans="1:3" x14ac:dyDescent="0.15">
      <c r="A692" s="40"/>
      <c r="C692" s="40"/>
    </row>
    <row r="693" spans="1:3" x14ac:dyDescent="0.15">
      <c r="A693" s="40"/>
      <c r="C693" s="40"/>
    </row>
    <row r="694" spans="1:3" x14ac:dyDescent="0.15">
      <c r="A694" s="40"/>
      <c r="C694" s="40"/>
    </row>
    <row r="695" spans="1:3" x14ac:dyDescent="0.15">
      <c r="A695" s="40"/>
      <c r="C695" s="40"/>
    </row>
    <row r="696" spans="1:3" x14ac:dyDescent="0.15">
      <c r="A696" s="40"/>
      <c r="C696" s="40"/>
    </row>
    <row r="697" spans="1:3" x14ac:dyDescent="0.15">
      <c r="A697" s="40"/>
      <c r="C697" s="40"/>
    </row>
    <row r="698" spans="1:3" x14ac:dyDescent="0.15">
      <c r="A698" s="40"/>
      <c r="C698" s="40"/>
    </row>
    <row r="699" spans="1:3" x14ac:dyDescent="0.15">
      <c r="A699" s="40"/>
      <c r="C699" s="40"/>
    </row>
    <row r="700" spans="1:3" x14ac:dyDescent="0.15">
      <c r="A700" s="40"/>
      <c r="C700" s="40"/>
    </row>
    <row r="701" spans="1:3" x14ac:dyDescent="0.15">
      <c r="A701" s="40"/>
      <c r="C701" s="40"/>
    </row>
    <row r="702" spans="1:3" x14ac:dyDescent="0.15">
      <c r="A702" s="40"/>
      <c r="C702" s="40"/>
    </row>
    <row r="703" spans="1:3" x14ac:dyDescent="0.15">
      <c r="A703" s="40"/>
      <c r="C703" s="40"/>
    </row>
    <row r="704" spans="1:3" x14ac:dyDescent="0.15">
      <c r="A704" s="40"/>
      <c r="C704" s="40"/>
    </row>
    <row r="705" spans="1:3" x14ac:dyDescent="0.15">
      <c r="A705" s="40"/>
      <c r="C705" s="40"/>
    </row>
    <row r="706" spans="1:3" x14ac:dyDescent="0.15">
      <c r="A706" s="40"/>
      <c r="C706" s="40"/>
    </row>
    <row r="707" spans="1:3" x14ac:dyDescent="0.15">
      <c r="A707" s="40"/>
      <c r="C707" s="40"/>
    </row>
    <row r="708" spans="1:3" x14ac:dyDescent="0.15">
      <c r="A708" s="40"/>
      <c r="C708" s="40"/>
    </row>
    <row r="709" spans="1:3" x14ac:dyDescent="0.15">
      <c r="A709" s="40"/>
      <c r="C709" s="40"/>
    </row>
    <row r="710" spans="1:3" x14ac:dyDescent="0.15">
      <c r="A710" s="40"/>
      <c r="C710" s="40"/>
    </row>
    <row r="711" spans="1:3" x14ac:dyDescent="0.15">
      <c r="A711" s="40"/>
      <c r="C711" s="40"/>
    </row>
    <row r="712" spans="1:3" x14ac:dyDescent="0.15">
      <c r="A712" s="40"/>
      <c r="C712" s="40"/>
    </row>
    <row r="713" spans="1:3" x14ac:dyDescent="0.15">
      <c r="A713" s="40"/>
      <c r="C713" s="40"/>
    </row>
    <row r="714" spans="1:3" x14ac:dyDescent="0.15">
      <c r="A714" s="40"/>
      <c r="C714" s="40"/>
    </row>
    <row r="715" spans="1:3" x14ac:dyDescent="0.15">
      <c r="A715" s="40"/>
      <c r="C715" s="40"/>
    </row>
    <row r="716" spans="1:3" x14ac:dyDescent="0.15">
      <c r="A716" s="40"/>
      <c r="C716" s="40"/>
    </row>
    <row r="717" spans="1:3" x14ac:dyDescent="0.15">
      <c r="A717" s="40"/>
      <c r="C717" s="40"/>
    </row>
    <row r="718" spans="1:3" x14ac:dyDescent="0.15">
      <c r="A718" s="40"/>
      <c r="C718" s="40"/>
    </row>
    <row r="719" spans="1:3" x14ac:dyDescent="0.15">
      <c r="A719" s="40"/>
      <c r="C719" s="40"/>
    </row>
    <row r="720" spans="1:3" x14ac:dyDescent="0.15">
      <c r="A720" s="40"/>
      <c r="C720" s="40"/>
    </row>
    <row r="721" spans="1:3" x14ac:dyDescent="0.15">
      <c r="A721" s="40"/>
      <c r="C721" s="40"/>
    </row>
    <row r="722" spans="1:3" x14ac:dyDescent="0.15">
      <c r="A722" s="40"/>
      <c r="C722" s="40"/>
    </row>
    <row r="723" spans="1:3" x14ac:dyDescent="0.15">
      <c r="A723" s="40"/>
      <c r="C723" s="40"/>
    </row>
    <row r="724" spans="1:3" x14ac:dyDescent="0.15">
      <c r="A724" s="40"/>
      <c r="C724" s="40"/>
    </row>
    <row r="725" spans="1:3" x14ac:dyDescent="0.15">
      <c r="A725" s="40"/>
      <c r="C725" s="40"/>
    </row>
    <row r="726" spans="1:3" x14ac:dyDescent="0.15">
      <c r="A726" s="40"/>
      <c r="C726" s="40"/>
    </row>
    <row r="727" spans="1:3" x14ac:dyDescent="0.15">
      <c r="A727" s="40"/>
      <c r="C727" s="40"/>
    </row>
    <row r="728" spans="1:3" x14ac:dyDescent="0.15">
      <c r="A728" s="40"/>
      <c r="C728" s="40"/>
    </row>
    <row r="729" spans="1:3" x14ac:dyDescent="0.15">
      <c r="A729" s="40"/>
      <c r="C729" s="40"/>
    </row>
    <row r="730" spans="1:3" x14ac:dyDescent="0.15">
      <c r="A730" s="40"/>
      <c r="C730" s="40"/>
    </row>
    <row r="731" spans="1:3" x14ac:dyDescent="0.15">
      <c r="A731" s="40"/>
      <c r="C731" s="40"/>
    </row>
    <row r="732" spans="1:3" x14ac:dyDescent="0.15">
      <c r="A732" s="40"/>
      <c r="C732" s="40"/>
    </row>
    <row r="733" spans="1:3" x14ac:dyDescent="0.15">
      <c r="A733" s="40"/>
      <c r="C733" s="40"/>
    </row>
    <row r="734" spans="1:3" x14ac:dyDescent="0.15">
      <c r="A734" s="40"/>
      <c r="C734" s="40"/>
    </row>
    <row r="735" spans="1:3" x14ac:dyDescent="0.15">
      <c r="A735" s="40"/>
      <c r="C735" s="40"/>
    </row>
    <row r="736" spans="1:3" x14ac:dyDescent="0.15">
      <c r="A736" s="40"/>
      <c r="C736" s="40"/>
    </row>
    <row r="737" spans="1:3" x14ac:dyDescent="0.15">
      <c r="A737" s="40"/>
      <c r="C737" s="40"/>
    </row>
    <row r="738" spans="1:3" x14ac:dyDescent="0.15">
      <c r="A738" s="40"/>
      <c r="C738" s="40"/>
    </row>
    <row r="739" spans="1:3" x14ac:dyDescent="0.15">
      <c r="A739" s="40"/>
      <c r="C739" s="40"/>
    </row>
    <row r="740" spans="1:3" x14ac:dyDescent="0.15">
      <c r="A740" s="40"/>
      <c r="C740" s="40"/>
    </row>
    <row r="741" spans="1:3" x14ac:dyDescent="0.15">
      <c r="A741" s="40"/>
      <c r="C741" s="40"/>
    </row>
    <row r="742" spans="1:3" x14ac:dyDescent="0.15">
      <c r="A742" s="40"/>
      <c r="C742" s="40"/>
    </row>
    <row r="743" spans="1:3" x14ac:dyDescent="0.15">
      <c r="A743" s="40"/>
      <c r="C743" s="40"/>
    </row>
    <row r="744" spans="1:3" x14ac:dyDescent="0.15">
      <c r="A744" s="40"/>
      <c r="C744" s="40"/>
    </row>
    <row r="745" spans="1:3" x14ac:dyDescent="0.15">
      <c r="A745" s="40"/>
      <c r="C745" s="40"/>
    </row>
    <row r="746" spans="1:3" x14ac:dyDescent="0.15">
      <c r="A746" s="40"/>
      <c r="C746" s="40"/>
    </row>
    <row r="747" spans="1:3" x14ac:dyDescent="0.15">
      <c r="A747" s="40"/>
      <c r="C747" s="40"/>
    </row>
    <row r="748" spans="1:3" x14ac:dyDescent="0.15">
      <c r="A748" s="40"/>
      <c r="C748" s="40"/>
    </row>
    <row r="749" spans="1:3" x14ac:dyDescent="0.15">
      <c r="A749" s="40"/>
      <c r="C749" s="40"/>
    </row>
    <row r="750" spans="1:3" x14ac:dyDescent="0.15">
      <c r="A750" s="40"/>
      <c r="C750" s="40"/>
    </row>
    <row r="751" spans="1:3" x14ac:dyDescent="0.15">
      <c r="A751" s="40"/>
      <c r="C751" s="40"/>
    </row>
    <row r="752" spans="1:3" x14ac:dyDescent="0.15">
      <c r="A752" s="40"/>
      <c r="C752" s="40"/>
    </row>
    <row r="753" spans="1:3" x14ac:dyDescent="0.15">
      <c r="A753" s="40"/>
      <c r="C753" s="40"/>
    </row>
    <row r="754" spans="1:3" x14ac:dyDescent="0.15">
      <c r="A754" s="40"/>
      <c r="C754" s="40"/>
    </row>
    <row r="755" spans="1:3" x14ac:dyDescent="0.15">
      <c r="A755" s="40"/>
      <c r="C755" s="40"/>
    </row>
    <row r="756" spans="1:3" x14ac:dyDescent="0.15">
      <c r="A756" s="40"/>
      <c r="C756" s="40"/>
    </row>
    <row r="757" spans="1:3" x14ac:dyDescent="0.15">
      <c r="A757" s="40"/>
      <c r="C757" s="40"/>
    </row>
    <row r="758" spans="1:3" x14ac:dyDescent="0.15">
      <c r="A758" s="40"/>
      <c r="C758" s="40"/>
    </row>
    <row r="759" spans="1:3" x14ac:dyDescent="0.15">
      <c r="A759" s="40"/>
      <c r="C759" s="40"/>
    </row>
    <row r="760" spans="1:3" x14ac:dyDescent="0.15">
      <c r="A760" s="40"/>
      <c r="C760" s="40"/>
    </row>
    <row r="761" spans="1:3" x14ac:dyDescent="0.15">
      <c r="A761" s="40"/>
      <c r="C761" s="40"/>
    </row>
    <row r="762" spans="1:3" x14ac:dyDescent="0.15">
      <c r="A762" s="40"/>
      <c r="C762" s="40"/>
    </row>
    <row r="763" spans="1:3" x14ac:dyDescent="0.15">
      <c r="A763" s="40"/>
      <c r="C763" s="40"/>
    </row>
    <row r="764" spans="1:3" x14ac:dyDescent="0.15">
      <c r="A764" s="40"/>
      <c r="C764" s="40"/>
    </row>
    <row r="765" spans="1:3" x14ac:dyDescent="0.15">
      <c r="A765" s="40"/>
      <c r="C765" s="40"/>
    </row>
    <row r="766" spans="1:3" x14ac:dyDescent="0.15">
      <c r="A766" s="40"/>
      <c r="C766" s="40"/>
    </row>
    <row r="767" spans="1:3" x14ac:dyDescent="0.15">
      <c r="A767" s="40"/>
      <c r="C767" s="40"/>
    </row>
    <row r="768" spans="1:3" x14ac:dyDescent="0.15">
      <c r="A768" s="40"/>
      <c r="C768" s="40"/>
    </row>
    <row r="769" spans="1:3" x14ac:dyDescent="0.15">
      <c r="A769" s="40"/>
      <c r="C769" s="40"/>
    </row>
    <row r="770" spans="1:3" x14ac:dyDescent="0.15">
      <c r="A770" s="40"/>
      <c r="C770" s="40"/>
    </row>
    <row r="771" spans="1:3" x14ac:dyDescent="0.15">
      <c r="A771" s="40"/>
      <c r="C771" s="40"/>
    </row>
    <row r="772" spans="1:3" x14ac:dyDescent="0.15">
      <c r="A772" s="40"/>
      <c r="C772" s="40"/>
    </row>
    <row r="773" spans="1:3" x14ac:dyDescent="0.15">
      <c r="A773" s="40"/>
      <c r="C773" s="40"/>
    </row>
    <row r="774" spans="1:3" x14ac:dyDescent="0.15">
      <c r="A774" s="40"/>
      <c r="C774" s="40"/>
    </row>
    <row r="775" spans="1:3" x14ac:dyDescent="0.15">
      <c r="A775" s="40"/>
      <c r="C775" s="40"/>
    </row>
    <row r="776" spans="1:3" x14ac:dyDescent="0.15">
      <c r="A776" s="40"/>
      <c r="C776" s="40"/>
    </row>
    <row r="777" spans="1:3" x14ac:dyDescent="0.15">
      <c r="A777" s="40"/>
      <c r="C777" s="40"/>
    </row>
    <row r="778" spans="1:3" x14ac:dyDescent="0.15">
      <c r="A778" s="40"/>
      <c r="C778" s="40"/>
    </row>
    <row r="779" spans="1:3" x14ac:dyDescent="0.15">
      <c r="A779" s="40"/>
      <c r="C779" s="40"/>
    </row>
    <row r="780" spans="1:3" x14ac:dyDescent="0.15">
      <c r="A780" s="40"/>
      <c r="C780" s="40"/>
    </row>
    <row r="781" spans="1:3" x14ac:dyDescent="0.15">
      <c r="A781" s="40"/>
      <c r="C781" s="40"/>
    </row>
    <row r="782" spans="1:3" x14ac:dyDescent="0.15">
      <c r="A782" s="40"/>
      <c r="C782" s="40"/>
    </row>
    <row r="783" spans="1:3" x14ac:dyDescent="0.15">
      <c r="A783" s="40"/>
      <c r="C783" s="40"/>
    </row>
    <row r="784" spans="1:3" x14ac:dyDescent="0.15">
      <c r="A784" s="40"/>
      <c r="C784" s="40"/>
    </row>
    <row r="785" spans="1:3" x14ac:dyDescent="0.15">
      <c r="A785" s="40"/>
      <c r="C785" s="40"/>
    </row>
    <row r="786" spans="1:3" x14ac:dyDescent="0.15">
      <c r="A786" s="40"/>
      <c r="C786" s="40"/>
    </row>
    <row r="787" spans="1:3" x14ac:dyDescent="0.15">
      <c r="A787" s="40"/>
      <c r="C787" s="40"/>
    </row>
    <row r="788" spans="1:3" x14ac:dyDescent="0.15">
      <c r="A788" s="40"/>
      <c r="C788" s="40"/>
    </row>
    <row r="789" spans="1:3" x14ac:dyDescent="0.15">
      <c r="A789" s="40"/>
      <c r="C789" s="40"/>
    </row>
    <row r="790" spans="1:3" x14ac:dyDescent="0.15">
      <c r="A790" s="40"/>
      <c r="C790" s="40"/>
    </row>
    <row r="791" spans="1:3" x14ac:dyDescent="0.15">
      <c r="A791" s="40"/>
      <c r="C791" s="40"/>
    </row>
    <row r="792" spans="1:3" x14ac:dyDescent="0.15">
      <c r="A792" s="40"/>
      <c r="C792" s="40"/>
    </row>
    <row r="793" spans="1:3" x14ac:dyDescent="0.15">
      <c r="A793" s="40"/>
      <c r="C793" s="40"/>
    </row>
    <row r="794" spans="1:3" x14ac:dyDescent="0.15">
      <c r="A794" s="40"/>
      <c r="C794" s="40"/>
    </row>
    <row r="795" spans="1:3" x14ac:dyDescent="0.15">
      <c r="A795" s="40"/>
      <c r="C795" s="40"/>
    </row>
    <row r="796" spans="1:3" x14ac:dyDescent="0.15">
      <c r="A796" s="40"/>
      <c r="C796" s="40"/>
    </row>
    <row r="797" spans="1:3" x14ac:dyDescent="0.15">
      <c r="A797" s="40"/>
      <c r="C797" s="40"/>
    </row>
    <row r="798" spans="1:3" x14ac:dyDescent="0.15">
      <c r="A798" s="40"/>
      <c r="C798" s="40"/>
    </row>
    <row r="799" spans="1:3" x14ac:dyDescent="0.15">
      <c r="A799" s="40"/>
      <c r="C799" s="40"/>
    </row>
    <row r="800" spans="1:3" x14ac:dyDescent="0.15">
      <c r="A800" s="40"/>
      <c r="C800" s="40"/>
    </row>
    <row r="801" spans="1:3" x14ac:dyDescent="0.15">
      <c r="A801" s="40"/>
      <c r="C801" s="40"/>
    </row>
    <row r="802" spans="1:3" x14ac:dyDescent="0.15">
      <c r="A802" s="40"/>
      <c r="C802" s="40"/>
    </row>
    <row r="803" spans="1:3" x14ac:dyDescent="0.15">
      <c r="A803" s="40"/>
      <c r="C803" s="40"/>
    </row>
    <row r="804" spans="1:3" x14ac:dyDescent="0.15">
      <c r="A804" s="40"/>
      <c r="C804" s="40"/>
    </row>
    <row r="805" spans="1:3" x14ac:dyDescent="0.15">
      <c r="A805" s="40"/>
      <c r="C805" s="40"/>
    </row>
    <row r="806" spans="1:3" x14ac:dyDescent="0.15">
      <c r="A806" s="40"/>
      <c r="C806" s="40"/>
    </row>
    <row r="807" spans="1:3" x14ac:dyDescent="0.15">
      <c r="A807" s="40"/>
      <c r="C807" s="40"/>
    </row>
    <row r="808" spans="1:3" x14ac:dyDescent="0.15">
      <c r="A808" s="40"/>
      <c r="C808" s="40"/>
    </row>
    <row r="809" spans="1:3" x14ac:dyDescent="0.15">
      <c r="A809" s="40"/>
      <c r="C809" s="40"/>
    </row>
    <row r="810" spans="1:3" x14ac:dyDescent="0.15">
      <c r="A810" s="40"/>
      <c r="C810" s="40"/>
    </row>
    <row r="811" spans="1:3" x14ac:dyDescent="0.15">
      <c r="A811" s="40"/>
      <c r="C811" s="40"/>
    </row>
    <row r="812" spans="1:3" x14ac:dyDescent="0.15">
      <c r="A812" s="40"/>
      <c r="C812" s="40"/>
    </row>
    <row r="813" spans="1:3" x14ac:dyDescent="0.15">
      <c r="A813" s="40"/>
      <c r="C813" s="40"/>
    </row>
    <row r="814" spans="1:3" x14ac:dyDescent="0.15">
      <c r="A814" s="40"/>
      <c r="C814" s="40"/>
    </row>
    <row r="815" spans="1:3" x14ac:dyDescent="0.15">
      <c r="A815" s="40"/>
      <c r="C815" s="40"/>
    </row>
    <row r="816" spans="1:3" x14ac:dyDescent="0.15">
      <c r="A816" s="40"/>
      <c r="C816" s="40"/>
    </row>
    <row r="817" spans="1:3" x14ac:dyDescent="0.15">
      <c r="A817" s="40"/>
      <c r="C817" s="40"/>
    </row>
    <row r="818" spans="1:3" x14ac:dyDescent="0.15">
      <c r="A818" s="40"/>
      <c r="C818" s="40"/>
    </row>
    <row r="819" spans="1:3" x14ac:dyDescent="0.15">
      <c r="A819" s="40"/>
      <c r="C819" s="40"/>
    </row>
    <row r="820" spans="1:3" x14ac:dyDescent="0.15">
      <c r="A820" s="40"/>
      <c r="C820" s="40"/>
    </row>
    <row r="821" spans="1:3" x14ac:dyDescent="0.15">
      <c r="A821" s="40"/>
      <c r="C821" s="40"/>
    </row>
    <row r="822" spans="1:3" x14ac:dyDescent="0.15">
      <c r="A822" s="40"/>
      <c r="C822" s="40"/>
    </row>
    <row r="823" spans="1:3" x14ac:dyDescent="0.15">
      <c r="A823" s="40"/>
      <c r="C823" s="40"/>
    </row>
    <row r="824" spans="1:3" x14ac:dyDescent="0.15">
      <c r="A824" s="40"/>
      <c r="C824" s="40"/>
    </row>
    <row r="825" spans="1:3" x14ac:dyDescent="0.15">
      <c r="A825" s="40"/>
      <c r="C825" s="40"/>
    </row>
    <row r="826" spans="1:3" x14ac:dyDescent="0.15">
      <c r="A826" s="40"/>
      <c r="C826" s="40"/>
    </row>
    <row r="827" spans="1:3" x14ac:dyDescent="0.15">
      <c r="A827" s="40"/>
      <c r="C827" s="40"/>
    </row>
    <row r="828" spans="1:3" x14ac:dyDescent="0.15">
      <c r="A828" s="40"/>
      <c r="C828" s="40"/>
    </row>
    <row r="829" spans="1:3" x14ac:dyDescent="0.15">
      <c r="A829" s="40"/>
      <c r="C829" s="40"/>
    </row>
    <row r="830" spans="1:3" x14ac:dyDescent="0.15">
      <c r="A830" s="40"/>
      <c r="C830" s="40"/>
    </row>
    <row r="831" spans="1:3" x14ac:dyDescent="0.15">
      <c r="A831" s="40"/>
      <c r="C831" s="40"/>
    </row>
    <row r="832" spans="1:3" x14ac:dyDescent="0.15">
      <c r="A832" s="40"/>
      <c r="C832" s="40"/>
    </row>
    <row r="833" spans="1:3" x14ac:dyDescent="0.15">
      <c r="A833" s="40"/>
      <c r="C833" s="40"/>
    </row>
    <row r="834" spans="1:3" x14ac:dyDescent="0.15">
      <c r="A834" s="40"/>
      <c r="C834" s="40"/>
    </row>
    <row r="835" spans="1:3" x14ac:dyDescent="0.15">
      <c r="A835" s="40"/>
      <c r="C835" s="40"/>
    </row>
    <row r="836" spans="1:3" x14ac:dyDescent="0.15">
      <c r="A836" s="40"/>
      <c r="C836" s="40"/>
    </row>
    <row r="837" spans="1:3" x14ac:dyDescent="0.15">
      <c r="A837" s="40"/>
      <c r="C837" s="40"/>
    </row>
    <row r="838" spans="1:3" x14ac:dyDescent="0.15">
      <c r="A838" s="40"/>
      <c r="C838" s="40"/>
    </row>
    <row r="839" spans="1:3" x14ac:dyDescent="0.15">
      <c r="A839" s="40"/>
      <c r="C839" s="40"/>
    </row>
    <row r="840" spans="1:3" x14ac:dyDescent="0.15">
      <c r="A840" s="40"/>
      <c r="C840" s="40"/>
    </row>
    <row r="841" spans="1:3" x14ac:dyDescent="0.15">
      <c r="A841" s="40"/>
      <c r="C841" s="40"/>
    </row>
    <row r="842" spans="1:3" x14ac:dyDescent="0.15">
      <c r="A842" s="40"/>
      <c r="C842" s="40"/>
    </row>
    <row r="843" spans="1:3" x14ac:dyDescent="0.15">
      <c r="A843" s="40"/>
      <c r="C843" s="40"/>
    </row>
    <row r="844" spans="1:3" x14ac:dyDescent="0.15">
      <c r="A844" s="40"/>
      <c r="C844" s="40"/>
    </row>
    <row r="845" spans="1:3" x14ac:dyDescent="0.15">
      <c r="A845" s="40"/>
      <c r="C845" s="40"/>
    </row>
    <row r="846" spans="1:3" x14ac:dyDescent="0.15">
      <c r="A846" s="40"/>
      <c r="C846" s="40"/>
    </row>
    <row r="847" spans="1:3" x14ac:dyDescent="0.15">
      <c r="A847" s="40"/>
      <c r="C847" s="40"/>
    </row>
    <row r="848" spans="1:3" x14ac:dyDescent="0.15">
      <c r="A848" s="40"/>
      <c r="C848" s="40"/>
    </row>
    <row r="849" spans="1:3" x14ac:dyDescent="0.15">
      <c r="A849" s="40"/>
      <c r="C849" s="40"/>
    </row>
    <row r="850" spans="1:3" x14ac:dyDescent="0.15">
      <c r="A850" s="40"/>
      <c r="C850" s="40"/>
    </row>
    <row r="851" spans="1:3" x14ac:dyDescent="0.15">
      <c r="A851" s="40"/>
      <c r="C851" s="40"/>
    </row>
    <row r="852" spans="1:3" x14ac:dyDescent="0.15">
      <c r="A852" s="40"/>
      <c r="C852" s="40"/>
    </row>
    <row r="853" spans="1:3" x14ac:dyDescent="0.15">
      <c r="A853" s="40"/>
      <c r="C853" s="40"/>
    </row>
    <row r="854" spans="1:3" x14ac:dyDescent="0.15">
      <c r="A854" s="40"/>
      <c r="C854" s="40"/>
    </row>
    <row r="855" spans="1:3" x14ac:dyDescent="0.15">
      <c r="A855" s="40"/>
      <c r="C855" s="40"/>
    </row>
    <row r="856" spans="1:3" x14ac:dyDescent="0.15">
      <c r="A856" s="40"/>
      <c r="C856" s="40"/>
    </row>
    <row r="857" spans="1:3" x14ac:dyDescent="0.15">
      <c r="A857" s="40"/>
      <c r="C857" s="40"/>
    </row>
    <row r="858" spans="1:3" x14ac:dyDescent="0.15">
      <c r="A858" s="40"/>
      <c r="C858" s="40"/>
    </row>
    <row r="859" spans="1:3" x14ac:dyDescent="0.15">
      <c r="A859" s="40"/>
      <c r="C859" s="40"/>
    </row>
    <row r="860" spans="1:3" x14ac:dyDescent="0.15">
      <c r="A860" s="40"/>
      <c r="C860" s="40"/>
    </row>
    <row r="861" spans="1:3" x14ac:dyDescent="0.15">
      <c r="A861" s="40"/>
      <c r="C861" s="40"/>
    </row>
    <row r="862" spans="1:3" x14ac:dyDescent="0.15">
      <c r="A862" s="40"/>
      <c r="C862" s="40"/>
    </row>
    <row r="863" spans="1:3" x14ac:dyDescent="0.15">
      <c r="A863" s="40"/>
      <c r="C863" s="40"/>
    </row>
    <row r="864" spans="1:3" x14ac:dyDescent="0.15">
      <c r="A864" s="40"/>
      <c r="C864" s="40"/>
    </row>
    <row r="865" spans="1:3" x14ac:dyDescent="0.15">
      <c r="A865" s="40"/>
      <c r="C865" s="40"/>
    </row>
    <row r="866" spans="1:3" x14ac:dyDescent="0.15">
      <c r="A866" s="40"/>
      <c r="C866" s="40"/>
    </row>
    <row r="867" spans="1:3" x14ac:dyDescent="0.15">
      <c r="A867" s="40"/>
      <c r="C867" s="40"/>
    </row>
    <row r="868" spans="1:3" x14ac:dyDescent="0.15">
      <c r="A868" s="40"/>
      <c r="C868" s="40"/>
    </row>
    <row r="869" spans="1:3" x14ac:dyDescent="0.15">
      <c r="A869" s="40"/>
      <c r="C869" s="40"/>
    </row>
    <row r="870" spans="1:3" x14ac:dyDescent="0.15">
      <c r="A870" s="40"/>
      <c r="C870" s="40"/>
    </row>
    <row r="871" spans="1:3" x14ac:dyDescent="0.15">
      <c r="A871" s="40"/>
      <c r="C871" s="40"/>
    </row>
    <row r="872" spans="1:3" x14ac:dyDescent="0.15">
      <c r="A872" s="40"/>
      <c r="C872" s="40"/>
    </row>
    <row r="873" spans="1:3" x14ac:dyDescent="0.15">
      <c r="A873" s="40"/>
      <c r="C873" s="40"/>
    </row>
    <row r="874" spans="1:3" x14ac:dyDescent="0.15">
      <c r="A874" s="40"/>
      <c r="C874" s="40"/>
    </row>
    <row r="875" spans="1:3" x14ac:dyDescent="0.15">
      <c r="A875" s="40"/>
      <c r="C875" s="40"/>
    </row>
    <row r="876" spans="1:3" x14ac:dyDescent="0.15">
      <c r="A876" s="40"/>
      <c r="C876" s="40"/>
    </row>
    <row r="877" spans="1:3" x14ac:dyDescent="0.15">
      <c r="A877" s="40"/>
      <c r="C877" s="40"/>
    </row>
    <row r="878" spans="1:3" x14ac:dyDescent="0.15">
      <c r="A878" s="40"/>
      <c r="C878" s="40"/>
    </row>
    <row r="879" spans="1:3" x14ac:dyDescent="0.15">
      <c r="A879" s="40"/>
      <c r="C879" s="40"/>
    </row>
    <row r="880" spans="1:3" x14ac:dyDescent="0.15">
      <c r="A880" s="40"/>
      <c r="C880" s="40"/>
    </row>
    <row r="881" spans="1:3" x14ac:dyDescent="0.15">
      <c r="A881" s="40"/>
      <c r="C881" s="40"/>
    </row>
    <row r="882" spans="1:3" x14ac:dyDescent="0.15">
      <c r="A882" s="4"/>
      <c r="C882" s="40"/>
    </row>
    <row r="883" spans="1:3" x14ac:dyDescent="0.15">
      <c r="A883" s="40"/>
      <c r="C883" s="40"/>
    </row>
    <row r="884" spans="1:3" x14ac:dyDescent="0.15">
      <c r="A884" s="40"/>
      <c r="C884" s="40"/>
    </row>
    <row r="885" spans="1:3" x14ac:dyDescent="0.15">
      <c r="A885" s="40"/>
      <c r="C885" s="40"/>
    </row>
    <row r="886" spans="1:3" x14ac:dyDescent="0.15">
      <c r="A886" s="40"/>
      <c r="C886" s="40"/>
    </row>
    <row r="887" spans="1:3" x14ac:dyDescent="0.15">
      <c r="A887" s="40"/>
      <c r="C887" s="40"/>
    </row>
    <row r="888" spans="1:3" x14ac:dyDescent="0.15">
      <c r="A888" s="40"/>
      <c r="C888" s="40"/>
    </row>
    <row r="889" spans="1:3" x14ac:dyDescent="0.15">
      <c r="A889" s="40"/>
      <c r="C889" s="40"/>
    </row>
    <row r="890" spans="1:3" x14ac:dyDescent="0.15">
      <c r="A890" s="40"/>
      <c r="C890" s="40"/>
    </row>
    <row r="891" spans="1:3" x14ac:dyDescent="0.15">
      <c r="A891" s="40"/>
      <c r="C891" s="40"/>
    </row>
    <row r="892" spans="1:3" x14ac:dyDescent="0.15">
      <c r="A892" s="40"/>
      <c r="C892" s="40"/>
    </row>
    <row r="893" spans="1:3" x14ac:dyDescent="0.15">
      <c r="A893" s="40"/>
      <c r="C893" s="40"/>
    </row>
    <row r="894" spans="1:3" x14ac:dyDescent="0.15">
      <c r="A894" s="40"/>
      <c r="C894" s="40"/>
    </row>
    <row r="895" spans="1:3" x14ac:dyDescent="0.15">
      <c r="A895" s="40"/>
      <c r="C895" s="40"/>
    </row>
    <row r="896" spans="1:3" x14ac:dyDescent="0.15">
      <c r="A896" s="40"/>
      <c r="C896" s="40"/>
    </row>
    <row r="897" spans="1:3" x14ac:dyDescent="0.15">
      <c r="A897" s="40"/>
      <c r="C897" s="40"/>
    </row>
    <row r="898" spans="1:3" x14ac:dyDescent="0.15">
      <c r="A898" s="40"/>
      <c r="C898" s="40"/>
    </row>
    <row r="899" spans="1:3" x14ac:dyDescent="0.15">
      <c r="A899" s="40"/>
      <c r="C899" s="40"/>
    </row>
    <row r="900" spans="1:3" x14ac:dyDescent="0.15">
      <c r="A900" s="40"/>
      <c r="C900" s="40"/>
    </row>
    <row r="901" spans="1:3" x14ac:dyDescent="0.15">
      <c r="A901" s="40"/>
      <c r="C901" s="40"/>
    </row>
    <row r="902" spans="1:3" x14ac:dyDescent="0.15">
      <c r="A902" s="40"/>
      <c r="C902" s="40"/>
    </row>
    <row r="903" spans="1:3" x14ac:dyDescent="0.15">
      <c r="A903" s="40"/>
      <c r="C903" s="40"/>
    </row>
    <row r="904" spans="1:3" x14ac:dyDescent="0.15">
      <c r="A904" s="40"/>
      <c r="C904" s="40"/>
    </row>
    <row r="905" spans="1:3" x14ac:dyDescent="0.15">
      <c r="A905" s="40"/>
      <c r="C905" s="40"/>
    </row>
    <row r="906" spans="1:3" x14ac:dyDescent="0.15">
      <c r="A906" s="40"/>
      <c r="C906" s="40"/>
    </row>
    <row r="907" spans="1:3" x14ac:dyDescent="0.15">
      <c r="A907" s="40"/>
      <c r="C907" s="40"/>
    </row>
    <row r="908" spans="1:3" x14ac:dyDescent="0.15">
      <c r="A908" s="40"/>
      <c r="C908" s="40"/>
    </row>
    <row r="909" spans="1:3" x14ac:dyDescent="0.15">
      <c r="A909" s="40"/>
      <c r="C909" s="40"/>
    </row>
    <row r="910" spans="1:3" x14ac:dyDescent="0.15">
      <c r="A910" s="40"/>
      <c r="C910" s="40"/>
    </row>
    <row r="911" spans="1:3" x14ac:dyDescent="0.15">
      <c r="A911" s="40"/>
      <c r="C911" s="40"/>
    </row>
    <row r="912" spans="1:3" x14ac:dyDescent="0.15">
      <c r="A912" s="40"/>
      <c r="C912" s="40"/>
    </row>
    <row r="913" spans="1:3" x14ac:dyDescent="0.15">
      <c r="A913" s="40"/>
      <c r="C913" s="4"/>
    </row>
    <row r="914" spans="1:3" x14ac:dyDescent="0.15">
      <c r="A914" s="40"/>
      <c r="C914" s="40"/>
    </row>
    <row r="915" spans="1:3" x14ac:dyDescent="0.15">
      <c r="A915" s="40"/>
      <c r="C915" s="40"/>
    </row>
    <row r="916" spans="1:3" x14ac:dyDescent="0.15">
      <c r="A916" s="40"/>
      <c r="C916" s="40"/>
    </row>
    <row r="917" spans="1:3" x14ac:dyDescent="0.15">
      <c r="A917" s="40"/>
      <c r="C917" s="40"/>
    </row>
    <row r="918" spans="1:3" x14ac:dyDescent="0.15">
      <c r="A918" s="40"/>
      <c r="C918" s="40"/>
    </row>
    <row r="919" spans="1:3" x14ac:dyDescent="0.15">
      <c r="A919" s="40"/>
      <c r="C919" s="40"/>
    </row>
    <row r="920" spans="1:3" x14ac:dyDescent="0.15">
      <c r="A920" s="40"/>
      <c r="C920" s="40"/>
    </row>
    <row r="921" spans="1:3" x14ac:dyDescent="0.15">
      <c r="A921" s="40"/>
      <c r="C921" s="40"/>
    </row>
    <row r="922" spans="1:3" x14ac:dyDescent="0.15">
      <c r="A922" s="40"/>
      <c r="C922" s="40"/>
    </row>
    <row r="923" spans="1:3" x14ac:dyDescent="0.15">
      <c r="A923" s="40"/>
      <c r="C923" s="40"/>
    </row>
    <row r="924" spans="1:3" x14ac:dyDescent="0.15">
      <c r="A924" s="40"/>
      <c r="C924" s="40"/>
    </row>
    <row r="925" spans="1:3" x14ac:dyDescent="0.15">
      <c r="A925" s="40"/>
      <c r="C925" s="40"/>
    </row>
    <row r="926" spans="1:3" x14ac:dyDescent="0.15">
      <c r="A926" s="40"/>
      <c r="C926" s="40"/>
    </row>
    <row r="927" spans="1:3" x14ac:dyDescent="0.15">
      <c r="A927" s="40"/>
      <c r="C927" s="40"/>
    </row>
    <row r="928" spans="1:3" x14ac:dyDescent="0.15">
      <c r="A928" s="40"/>
      <c r="C928" s="40"/>
    </row>
    <row r="929" spans="1:3" x14ac:dyDescent="0.15">
      <c r="A929" s="40"/>
      <c r="C929" s="40"/>
    </row>
    <row r="930" spans="1:3" x14ac:dyDescent="0.15">
      <c r="A930" s="40"/>
      <c r="C930" s="40"/>
    </row>
    <row r="931" spans="1:3" x14ac:dyDescent="0.15">
      <c r="A931" s="40"/>
      <c r="C931" s="40"/>
    </row>
    <row r="932" spans="1:3" x14ac:dyDescent="0.15">
      <c r="A932" s="40"/>
      <c r="C932" s="40"/>
    </row>
    <row r="933" spans="1:3" x14ac:dyDescent="0.15">
      <c r="A933" s="40"/>
      <c r="C933" s="40"/>
    </row>
    <row r="934" spans="1:3" x14ac:dyDescent="0.15">
      <c r="A934" s="40"/>
      <c r="C934" s="40"/>
    </row>
    <row r="935" spans="1:3" x14ac:dyDescent="0.15">
      <c r="A935" s="40"/>
      <c r="C935" s="40"/>
    </row>
    <row r="936" spans="1:3" x14ac:dyDescent="0.15">
      <c r="A936" s="40"/>
      <c r="C936" s="40"/>
    </row>
    <row r="937" spans="1:3" x14ac:dyDescent="0.15">
      <c r="A937" s="40"/>
      <c r="C937" s="40"/>
    </row>
    <row r="938" spans="1:3" x14ac:dyDescent="0.15">
      <c r="A938" s="40"/>
      <c r="C938" s="40"/>
    </row>
    <row r="939" spans="1:3" x14ac:dyDescent="0.15">
      <c r="A939" s="40"/>
      <c r="C939" s="40"/>
    </row>
    <row r="940" spans="1:3" x14ac:dyDescent="0.15">
      <c r="A940" s="40"/>
      <c r="C940" s="40"/>
    </row>
    <row r="941" spans="1:3" x14ac:dyDescent="0.15">
      <c r="A941" s="40"/>
      <c r="C941" s="40"/>
    </row>
    <row r="942" spans="1:3" x14ac:dyDescent="0.15">
      <c r="A942" s="40"/>
      <c r="C942" s="40"/>
    </row>
    <row r="943" spans="1:3" x14ac:dyDescent="0.15">
      <c r="A943" s="40"/>
      <c r="C943" s="40"/>
    </row>
    <row r="944" spans="1:3" x14ac:dyDescent="0.15">
      <c r="A944" s="40"/>
      <c r="C944" s="40"/>
    </row>
    <row r="945" spans="1:3" x14ac:dyDescent="0.15">
      <c r="A945" s="40"/>
      <c r="C945" s="40"/>
    </row>
    <row r="946" spans="1:3" x14ac:dyDescent="0.15">
      <c r="A946" s="40"/>
      <c r="C946" s="40"/>
    </row>
    <row r="947" spans="1:3" x14ac:dyDescent="0.15">
      <c r="A947" s="40"/>
      <c r="C947" s="40"/>
    </row>
    <row r="948" spans="1:3" x14ac:dyDescent="0.15">
      <c r="A948" s="40"/>
      <c r="C948" s="40"/>
    </row>
    <row r="949" spans="1:3" x14ac:dyDescent="0.15">
      <c r="A949" s="40"/>
      <c r="C949" s="40"/>
    </row>
    <row r="950" spans="1:3" x14ac:dyDescent="0.15">
      <c r="A950" s="40"/>
      <c r="C950" s="40"/>
    </row>
    <row r="951" spans="1:3" x14ac:dyDescent="0.15">
      <c r="A951" s="40"/>
      <c r="C951" s="40"/>
    </row>
    <row r="952" spans="1:3" x14ac:dyDescent="0.15">
      <c r="A952" s="40"/>
      <c r="C952" s="40"/>
    </row>
    <row r="953" spans="1:3" x14ac:dyDescent="0.15">
      <c r="A953" s="40"/>
      <c r="C953" s="40"/>
    </row>
    <row r="954" spans="1:3" x14ac:dyDescent="0.15">
      <c r="A954" s="40"/>
      <c r="C954" s="40"/>
    </row>
    <row r="955" spans="1:3" x14ac:dyDescent="0.15">
      <c r="A955" s="40"/>
      <c r="C955" s="40"/>
    </row>
    <row r="956" spans="1:3" x14ac:dyDescent="0.15">
      <c r="A956" s="40"/>
      <c r="C956" s="40"/>
    </row>
    <row r="957" spans="1:3" x14ac:dyDescent="0.15">
      <c r="A957" s="40"/>
      <c r="C957" s="40"/>
    </row>
    <row r="958" spans="1:3" x14ac:dyDescent="0.15">
      <c r="A958" s="40"/>
      <c r="C958" s="40"/>
    </row>
    <row r="959" spans="1:3" x14ac:dyDescent="0.15">
      <c r="A959" s="40"/>
      <c r="C959" s="40"/>
    </row>
    <row r="960" spans="1:3" x14ac:dyDescent="0.15">
      <c r="A960" s="40"/>
      <c r="C960" s="40"/>
    </row>
    <row r="961" spans="1:3" x14ac:dyDescent="0.15">
      <c r="A961" s="40"/>
      <c r="C961" s="40"/>
    </row>
    <row r="962" spans="1:3" x14ac:dyDescent="0.15">
      <c r="A962" s="40"/>
      <c r="C962" s="40"/>
    </row>
    <row r="963" spans="1:3" x14ac:dyDescent="0.15">
      <c r="A963" s="40"/>
      <c r="C963" s="40"/>
    </row>
    <row r="964" spans="1:3" x14ac:dyDescent="0.15">
      <c r="A964" s="40"/>
      <c r="C964" s="40"/>
    </row>
    <row r="965" spans="1:3" x14ac:dyDescent="0.15">
      <c r="A965" s="40"/>
      <c r="C965" s="40"/>
    </row>
    <row r="966" spans="1:3" x14ac:dyDescent="0.15">
      <c r="A966" s="40"/>
      <c r="C966" s="40"/>
    </row>
    <row r="967" spans="1:3" x14ac:dyDescent="0.15">
      <c r="A967" s="40"/>
      <c r="C967" s="40"/>
    </row>
    <row r="968" spans="1:3" x14ac:dyDescent="0.15">
      <c r="A968" s="40"/>
      <c r="C968" s="40"/>
    </row>
    <row r="969" spans="1:3" x14ac:dyDescent="0.15">
      <c r="A969" s="40"/>
      <c r="C969" s="40"/>
    </row>
    <row r="970" spans="1:3" x14ac:dyDescent="0.15">
      <c r="A970" s="40"/>
      <c r="C970" s="40"/>
    </row>
    <row r="971" spans="1:3" x14ac:dyDescent="0.15">
      <c r="A971" s="40"/>
      <c r="C971" s="40"/>
    </row>
    <row r="972" spans="1:3" x14ac:dyDescent="0.15">
      <c r="A972" s="40"/>
      <c r="C972" s="40"/>
    </row>
    <row r="973" spans="1:3" x14ac:dyDescent="0.15">
      <c r="A973" s="40"/>
      <c r="C973" s="40"/>
    </row>
    <row r="974" spans="1:3" x14ac:dyDescent="0.15">
      <c r="A974" s="40"/>
      <c r="C974" s="40"/>
    </row>
    <row r="975" spans="1:3" x14ac:dyDescent="0.15">
      <c r="A975" s="40"/>
      <c r="C975" s="40"/>
    </row>
    <row r="976" spans="1:3" x14ac:dyDescent="0.15">
      <c r="A976" s="40"/>
      <c r="C976" s="40"/>
    </row>
    <row r="977" spans="1:3" x14ac:dyDescent="0.15">
      <c r="A977" s="40"/>
      <c r="C977" s="40"/>
    </row>
    <row r="978" spans="1:3" x14ac:dyDescent="0.15">
      <c r="A978" s="40"/>
      <c r="C978" s="40"/>
    </row>
    <row r="979" spans="1:3" x14ac:dyDescent="0.15">
      <c r="A979" s="40"/>
      <c r="C979" s="40"/>
    </row>
    <row r="980" spans="1:3" x14ac:dyDescent="0.15">
      <c r="A980" s="40"/>
      <c r="C980" s="40"/>
    </row>
    <row r="981" spans="1:3" x14ac:dyDescent="0.15">
      <c r="A981" s="40"/>
      <c r="C981" s="40"/>
    </row>
    <row r="982" spans="1:3" x14ac:dyDescent="0.15">
      <c r="A982" s="40"/>
      <c r="C982" s="40"/>
    </row>
    <row r="983" spans="1:3" x14ac:dyDescent="0.15">
      <c r="A983" s="40"/>
      <c r="C983" s="40"/>
    </row>
    <row r="984" spans="1:3" x14ac:dyDescent="0.15">
      <c r="A984" s="40"/>
      <c r="C984" s="40"/>
    </row>
    <row r="985" spans="1:3" x14ac:dyDescent="0.15">
      <c r="A985" s="40"/>
      <c r="C985" s="40"/>
    </row>
    <row r="986" spans="1:3" x14ac:dyDescent="0.15">
      <c r="A986" s="40"/>
      <c r="C986" s="40"/>
    </row>
    <row r="987" spans="1:3" x14ac:dyDescent="0.15">
      <c r="A987" s="40"/>
      <c r="C987" s="40"/>
    </row>
    <row r="988" spans="1:3" x14ac:dyDescent="0.15">
      <c r="A988" s="40"/>
      <c r="C988" s="40"/>
    </row>
    <row r="989" spans="1:3" x14ac:dyDescent="0.15">
      <c r="A989" s="40"/>
      <c r="C989" s="40"/>
    </row>
    <row r="990" spans="1:3" x14ac:dyDescent="0.15">
      <c r="A990" s="40"/>
      <c r="C990" s="40"/>
    </row>
    <row r="991" spans="1:3" x14ac:dyDescent="0.15">
      <c r="A991" s="40"/>
      <c r="C991" s="40"/>
    </row>
    <row r="992" spans="1:3" x14ac:dyDescent="0.15">
      <c r="A992" s="40"/>
      <c r="C992" s="40"/>
    </row>
    <row r="993" spans="1:3" x14ac:dyDescent="0.15">
      <c r="A993" s="40"/>
      <c r="C993" s="40"/>
    </row>
    <row r="994" spans="1:3" x14ac:dyDescent="0.15">
      <c r="A994" s="40"/>
      <c r="C994" s="40"/>
    </row>
    <row r="995" spans="1:3" x14ac:dyDescent="0.15">
      <c r="A995" s="40"/>
      <c r="C995" s="40"/>
    </row>
    <row r="996" spans="1:3" x14ac:dyDescent="0.15">
      <c r="A996" s="40"/>
      <c r="C996" s="40"/>
    </row>
    <row r="997" spans="1:3" x14ac:dyDescent="0.15">
      <c r="A997" s="40"/>
      <c r="C997" s="40"/>
    </row>
    <row r="998" spans="1:3" x14ac:dyDescent="0.15">
      <c r="A998" s="40"/>
      <c r="C998" s="40"/>
    </row>
    <row r="999" spans="1:3" x14ac:dyDescent="0.15">
      <c r="A999" s="40"/>
      <c r="C999" s="40"/>
    </row>
    <row r="1000" spans="1:3" x14ac:dyDescent="0.15">
      <c r="A1000" s="40"/>
      <c r="C1000" s="40"/>
    </row>
    <row r="1001" spans="1:3" x14ac:dyDescent="0.15">
      <c r="A1001" s="40"/>
      <c r="C1001" s="40"/>
    </row>
    <row r="1002" spans="1:3" x14ac:dyDescent="0.15">
      <c r="A1002" s="40"/>
      <c r="C1002" s="40"/>
    </row>
    <row r="1003" spans="1:3" x14ac:dyDescent="0.15">
      <c r="A1003" s="40"/>
      <c r="C1003" s="40"/>
    </row>
    <row r="1004" spans="1:3" x14ac:dyDescent="0.15">
      <c r="A1004" s="40"/>
      <c r="C1004" s="40"/>
    </row>
    <row r="1005" spans="1:3" x14ac:dyDescent="0.15">
      <c r="A1005" s="40"/>
      <c r="C1005" s="40"/>
    </row>
    <row r="1006" spans="1:3" x14ac:dyDescent="0.15">
      <c r="A1006" s="40"/>
      <c r="C1006" s="40"/>
    </row>
    <row r="1007" spans="1:3" x14ac:dyDescent="0.15">
      <c r="A1007" s="40"/>
      <c r="C1007" s="40"/>
    </row>
    <row r="1008" spans="1:3" x14ac:dyDescent="0.15">
      <c r="A1008" s="40"/>
      <c r="C1008" s="40"/>
    </row>
    <row r="1009" spans="1:3" x14ac:dyDescent="0.15">
      <c r="A1009" s="40"/>
      <c r="C1009" s="40"/>
    </row>
    <row r="1010" spans="1:3" x14ac:dyDescent="0.15">
      <c r="A1010" s="40"/>
      <c r="C1010" s="40"/>
    </row>
    <row r="1011" spans="1:3" x14ac:dyDescent="0.15">
      <c r="A1011" s="40"/>
      <c r="C1011" s="40"/>
    </row>
    <row r="1012" spans="1:3" x14ac:dyDescent="0.15">
      <c r="A1012" s="40"/>
      <c r="C1012" s="40"/>
    </row>
    <row r="1013" spans="1:3" x14ac:dyDescent="0.15">
      <c r="A1013" s="40"/>
      <c r="C1013" s="40"/>
    </row>
    <row r="1014" spans="1:3" x14ac:dyDescent="0.15">
      <c r="A1014" s="40"/>
      <c r="C1014" s="40"/>
    </row>
    <row r="1015" spans="1:3" x14ac:dyDescent="0.15">
      <c r="A1015" s="40"/>
      <c r="C1015" s="40"/>
    </row>
    <row r="1016" spans="1:3" x14ac:dyDescent="0.15">
      <c r="A1016" s="40"/>
      <c r="C1016" s="40"/>
    </row>
    <row r="1017" spans="1:3" x14ac:dyDescent="0.15">
      <c r="A1017" s="40"/>
      <c r="C1017" s="40"/>
    </row>
    <row r="1018" spans="1:3" x14ac:dyDescent="0.15">
      <c r="A1018" s="40"/>
      <c r="C1018" s="40"/>
    </row>
    <row r="1019" spans="1:3" x14ac:dyDescent="0.15">
      <c r="A1019" s="40"/>
      <c r="C1019" s="40"/>
    </row>
    <row r="1020" spans="1:3" x14ac:dyDescent="0.15">
      <c r="A1020" s="40"/>
      <c r="C1020" s="40"/>
    </row>
    <row r="1021" spans="1:3" x14ac:dyDescent="0.15">
      <c r="A1021" s="40"/>
      <c r="C1021" s="40"/>
    </row>
    <row r="1022" spans="1:3" x14ac:dyDescent="0.15">
      <c r="A1022" s="40"/>
      <c r="C1022" s="40"/>
    </row>
    <row r="1023" spans="1:3" x14ac:dyDescent="0.15">
      <c r="A1023" s="40"/>
      <c r="C1023" s="40"/>
    </row>
    <row r="1024" spans="1:3" x14ac:dyDescent="0.15">
      <c r="A1024" s="40"/>
      <c r="C1024" s="40"/>
    </row>
    <row r="1025" spans="1:3" x14ac:dyDescent="0.15">
      <c r="A1025" s="40"/>
      <c r="C1025" s="40"/>
    </row>
    <row r="1026" spans="1:3" x14ac:dyDescent="0.15">
      <c r="A1026" s="40"/>
      <c r="C1026" s="40"/>
    </row>
    <row r="1027" spans="1:3" x14ac:dyDescent="0.15">
      <c r="A1027" s="40"/>
      <c r="C1027" s="40"/>
    </row>
    <row r="1028" spans="1:3" x14ac:dyDescent="0.15">
      <c r="A1028" s="40"/>
      <c r="C1028" s="40"/>
    </row>
    <row r="1029" spans="1:3" x14ac:dyDescent="0.15">
      <c r="A1029" s="40"/>
      <c r="C1029" s="40"/>
    </row>
    <row r="1030" spans="1:3" x14ac:dyDescent="0.15">
      <c r="A1030" s="40"/>
      <c r="C1030" s="40"/>
    </row>
    <row r="1031" spans="1:3" x14ac:dyDescent="0.15">
      <c r="A1031" s="40"/>
      <c r="C1031" s="40"/>
    </row>
    <row r="1032" spans="1:3" x14ac:dyDescent="0.15">
      <c r="A1032" s="40"/>
      <c r="C1032" s="40"/>
    </row>
    <row r="1033" spans="1:3" x14ac:dyDescent="0.15">
      <c r="A1033" s="40"/>
      <c r="C1033" s="40"/>
    </row>
    <row r="1034" spans="1:3" x14ac:dyDescent="0.15">
      <c r="A1034" s="40"/>
      <c r="C1034" s="40"/>
    </row>
    <row r="1035" spans="1:3" x14ac:dyDescent="0.15">
      <c r="A1035" s="40"/>
      <c r="C1035" s="40"/>
    </row>
    <row r="1036" spans="1:3" x14ac:dyDescent="0.15">
      <c r="A1036" s="40"/>
      <c r="C1036" s="40"/>
    </row>
    <row r="1037" spans="1:3" x14ac:dyDescent="0.15">
      <c r="A1037" s="40"/>
      <c r="C1037" s="40"/>
    </row>
    <row r="1038" spans="1:3" x14ac:dyDescent="0.15">
      <c r="A1038" s="40"/>
      <c r="C1038" s="40"/>
    </row>
    <row r="1039" spans="1:3" x14ac:dyDescent="0.15">
      <c r="A1039" s="40"/>
      <c r="C1039" s="40"/>
    </row>
    <row r="1040" spans="1:3" x14ac:dyDescent="0.15">
      <c r="A1040" s="40"/>
      <c r="C1040" s="40"/>
    </row>
    <row r="1041" spans="1:3" x14ac:dyDescent="0.15">
      <c r="A1041" s="40"/>
      <c r="C1041" s="40"/>
    </row>
    <row r="1042" spans="1:3" x14ac:dyDescent="0.15">
      <c r="A1042" s="40"/>
      <c r="C1042" s="40"/>
    </row>
    <row r="1043" spans="1:3" x14ac:dyDescent="0.15">
      <c r="A1043" s="40"/>
      <c r="C1043" s="40"/>
    </row>
    <row r="1044" spans="1:3" x14ac:dyDescent="0.15">
      <c r="A1044" s="40"/>
      <c r="C1044" s="40"/>
    </row>
    <row r="1045" spans="1:3" x14ac:dyDescent="0.15">
      <c r="A1045" s="40"/>
      <c r="C1045" s="40"/>
    </row>
    <row r="1046" spans="1:3" x14ac:dyDescent="0.15">
      <c r="A1046" s="40"/>
      <c r="C1046" s="40"/>
    </row>
    <row r="1047" spans="1:3" x14ac:dyDescent="0.15">
      <c r="A1047" s="40"/>
      <c r="C1047" s="40"/>
    </row>
    <row r="1048" spans="1:3" x14ac:dyDescent="0.15">
      <c r="A1048" s="40"/>
      <c r="C1048" s="40"/>
    </row>
    <row r="1049" spans="1:3" x14ac:dyDescent="0.15">
      <c r="A1049" s="40"/>
      <c r="C1049" s="40"/>
    </row>
    <row r="1050" spans="1:3" x14ac:dyDescent="0.15">
      <c r="A1050" s="40"/>
      <c r="C1050" s="40"/>
    </row>
    <row r="1051" spans="1:3" x14ac:dyDescent="0.15">
      <c r="A1051" s="40"/>
      <c r="C1051" s="40"/>
    </row>
    <row r="1052" spans="1:3" x14ac:dyDescent="0.15">
      <c r="A1052" s="40"/>
      <c r="C1052" s="40"/>
    </row>
    <row r="1053" spans="1:3" x14ac:dyDescent="0.15">
      <c r="A1053" s="40"/>
      <c r="C1053" s="40"/>
    </row>
    <row r="1054" spans="1:3" x14ac:dyDescent="0.15">
      <c r="A1054" s="40"/>
      <c r="C1054" s="40"/>
    </row>
    <row r="1055" spans="1:3" x14ac:dyDescent="0.15">
      <c r="A1055" s="40"/>
      <c r="C1055" s="40"/>
    </row>
    <row r="1056" spans="1:3" x14ac:dyDescent="0.15">
      <c r="A1056" s="40"/>
      <c r="C1056" s="40"/>
    </row>
    <row r="1057" spans="1:3" x14ac:dyDescent="0.15">
      <c r="A1057" s="40"/>
      <c r="C1057" s="40"/>
    </row>
    <row r="1058" spans="1:3" x14ac:dyDescent="0.15">
      <c r="A1058" s="40"/>
      <c r="C1058" s="40"/>
    </row>
    <row r="1059" spans="1:3" x14ac:dyDescent="0.15">
      <c r="A1059" s="40"/>
      <c r="C1059" s="40"/>
    </row>
    <row r="1060" spans="1:3" x14ac:dyDescent="0.15">
      <c r="A1060" s="40"/>
      <c r="C1060" s="40"/>
    </row>
    <row r="1061" spans="1:3" x14ac:dyDescent="0.15">
      <c r="A1061" s="40"/>
      <c r="C1061" s="40"/>
    </row>
    <row r="1062" spans="1:3" x14ac:dyDescent="0.15">
      <c r="A1062" s="40"/>
      <c r="C1062" s="40"/>
    </row>
    <row r="1063" spans="1:3" x14ac:dyDescent="0.15">
      <c r="A1063" s="40"/>
      <c r="C1063" s="40"/>
    </row>
    <row r="1064" spans="1:3" x14ac:dyDescent="0.15">
      <c r="A1064" s="40"/>
      <c r="C1064" s="40"/>
    </row>
    <row r="1065" spans="1:3" x14ac:dyDescent="0.15">
      <c r="A1065" s="40"/>
      <c r="C1065" s="40"/>
    </row>
    <row r="1066" spans="1:3" x14ac:dyDescent="0.15">
      <c r="A1066" s="40"/>
      <c r="C1066" s="40"/>
    </row>
    <row r="1067" spans="1:3" x14ac:dyDescent="0.15">
      <c r="A1067" s="40"/>
      <c r="C1067" s="40"/>
    </row>
    <row r="1068" spans="1:3" x14ac:dyDescent="0.15">
      <c r="A1068" s="40"/>
      <c r="C1068" s="40"/>
    </row>
    <row r="1069" spans="1:3" x14ac:dyDescent="0.15">
      <c r="A1069" s="40"/>
      <c r="C1069" s="40"/>
    </row>
    <row r="1070" spans="1:3" x14ac:dyDescent="0.15">
      <c r="A1070" s="40"/>
      <c r="C1070" s="40"/>
    </row>
    <row r="1071" spans="1:3" x14ac:dyDescent="0.15">
      <c r="A1071" s="40"/>
      <c r="C1071" s="40"/>
    </row>
    <row r="1072" spans="1:3" x14ac:dyDescent="0.15">
      <c r="A1072" s="40"/>
      <c r="C1072" s="40"/>
    </row>
    <row r="1073" spans="1:3" x14ac:dyDescent="0.15">
      <c r="A1073" s="40"/>
      <c r="C1073" s="40"/>
    </row>
    <row r="1074" spans="1:3" x14ac:dyDescent="0.15">
      <c r="A1074" s="40"/>
      <c r="C1074" s="40"/>
    </row>
    <row r="1075" spans="1:3" x14ac:dyDescent="0.15">
      <c r="A1075" s="40"/>
      <c r="C1075" s="40"/>
    </row>
    <row r="1076" spans="1:3" x14ac:dyDescent="0.15">
      <c r="A1076" s="40"/>
      <c r="C1076" s="40"/>
    </row>
    <row r="1077" spans="1:3" x14ac:dyDescent="0.15">
      <c r="A1077" s="40"/>
      <c r="C1077" s="40"/>
    </row>
    <row r="1078" spans="1:3" x14ac:dyDescent="0.15">
      <c r="A1078" s="40"/>
      <c r="C1078" s="40"/>
    </row>
    <row r="1079" spans="1:3" x14ac:dyDescent="0.15">
      <c r="A1079" s="40"/>
      <c r="C1079" s="40"/>
    </row>
    <row r="1080" spans="1:3" x14ac:dyDescent="0.15">
      <c r="A1080" s="40"/>
      <c r="C1080" s="40"/>
    </row>
    <row r="1081" spans="1:3" x14ac:dyDescent="0.15">
      <c r="A1081" s="40"/>
      <c r="C1081" s="40"/>
    </row>
    <row r="1082" spans="1:3" x14ac:dyDescent="0.15">
      <c r="A1082" s="40"/>
      <c r="C1082" s="40"/>
    </row>
    <row r="1083" spans="1:3" x14ac:dyDescent="0.15">
      <c r="A1083" s="40"/>
      <c r="C1083" s="40"/>
    </row>
    <row r="1084" spans="1:3" x14ac:dyDescent="0.15">
      <c r="A1084" s="40"/>
      <c r="C1084" s="40"/>
    </row>
    <row r="1085" spans="1:3" x14ac:dyDescent="0.15">
      <c r="A1085" s="40"/>
      <c r="C1085" s="40"/>
    </row>
    <row r="1086" spans="1:3" x14ac:dyDescent="0.15">
      <c r="A1086" s="40"/>
      <c r="C1086" s="40"/>
    </row>
    <row r="1087" spans="1:3" x14ac:dyDescent="0.15">
      <c r="A1087" s="40"/>
      <c r="C1087" s="40"/>
    </row>
    <row r="1088" spans="1:3" x14ac:dyDescent="0.15">
      <c r="A1088" s="40"/>
      <c r="C1088" s="40"/>
    </row>
    <row r="1089" spans="1:3" x14ac:dyDescent="0.15">
      <c r="A1089" s="40"/>
      <c r="C1089" s="40"/>
    </row>
    <row r="1090" spans="1:3" x14ac:dyDescent="0.15">
      <c r="A1090" s="40"/>
      <c r="C1090" s="40"/>
    </row>
    <row r="1091" spans="1:3" x14ac:dyDescent="0.15">
      <c r="A1091" s="40"/>
      <c r="C1091" s="40"/>
    </row>
    <row r="1092" spans="1:3" x14ac:dyDescent="0.15">
      <c r="A1092" s="40"/>
      <c r="C1092" s="40"/>
    </row>
    <row r="1093" spans="1:3" x14ac:dyDescent="0.15">
      <c r="A1093" s="40"/>
      <c r="C1093" s="40"/>
    </row>
    <row r="1094" spans="1:3" x14ac:dyDescent="0.15">
      <c r="A1094" s="40"/>
      <c r="C1094" s="40"/>
    </row>
    <row r="1095" spans="1:3" x14ac:dyDescent="0.15">
      <c r="A1095" s="40"/>
      <c r="C1095" s="40"/>
    </row>
    <row r="1096" spans="1:3" x14ac:dyDescent="0.15">
      <c r="A1096" s="40"/>
      <c r="C1096" s="40"/>
    </row>
    <row r="1097" spans="1:3" x14ac:dyDescent="0.15">
      <c r="A1097" s="40"/>
      <c r="C1097" s="40"/>
    </row>
    <row r="1098" spans="1:3" x14ac:dyDescent="0.15">
      <c r="A1098" s="40"/>
      <c r="C1098" s="40"/>
    </row>
    <row r="1099" spans="1:3" x14ac:dyDescent="0.15">
      <c r="A1099" s="40"/>
      <c r="C1099" s="40"/>
    </row>
    <row r="1100" spans="1:3" x14ac:dyDescent="0.15">
      <c r="A1100" s="40"/>
      <c r="C1100" s="40"/>
    </row>
    <row r="1101" spans="1:3" x14ac:dyDescent="0.15">
      <c r="A1101" s="40"/>
      <c r="C1101" s="40"/>
    </row>
    <row r="1102" spans="1:3" x14ac:dyDescent="0.15">
      <c r="A1102" s="40"/>
      <c r="C1102" s="40"/>
    </row>
    <row r="1103" spans="1:3" x14ac:dyDescent="0.15">
      <c r="A1103" s="40"/>
      <c r="C1103" s="40"/>
    </row>
    <row r="1104" spans="1:3" x14ac:dyDescent="0.15">
      <c r="A1104" s="40"/>
      <c r="C1104" s="40"/>
    </row>
    <row r="1105" spans="1:3" x14ac:dyDescent="0.15">
      <c r="A1105" s="40"/>
      <c r="C1105" s="40"/>
    </row>
    <row r="1106" spans="1:3" x14ac:dyDescent="0.15">
      <c r="A1106" s="40"/>
      <c r="C1106" s="40"/>
    </row>
    <row r="1107" spans="1:3" x14ac:dyDescent="0.15">
      <c r="A1107" s="40"/>
      <c r="C1107" s="40"/>
    </row>
    <row r="1108" spans="1:3" x14ac:dyDescent="0.15">
      <c r="A1108" s="40"/>
      <c r="C1108" s="40"/>
    </row>
    <row r="1109" spans="1:3" x14ac:dyDescent="0.15">
      <c r="A1109" s="40"/>
      <c r="C1109" s="40"/>
    </row>
    <row r="1110" spans="1:3" x14ac:dyDescent="0.15">
      <c r="A1110" s="40"/>
      <c r="C1110" s="40"/>
    </row>
    <row r="1111" spans="1:3" x14ac:dyDescent="0.15">
      <c r="A1111" s="40"/>
      <c r="C1111" s="40"/>
    </row>
    <row r="1112" spans="1:3" x14ac:dyDescent="0.15">
      <c r="A1112" s="40"/>
      <c r="C1112" s="40"/>
    </row>
    <row r="1113" spans="1:3" x14ac:dyDescent="0.15">
      <c r="A1113" s="40"/>
      <c r="C1113" s="40"/>
    </row>
    <row r="1114" spans="1:3" x14ac:dyDescent="0.15">
      <c r="A1114" s="40"/>
      <c r="C1114" s="40"/>
    </row>
    <row r="1115" spans="1:3" x14ac:dyDescent="0.15">
      <c r="A1115" s="40"/>
      <c r="C1115" s="40"/>
    </row>
    <row r="1116" spans="1:3" x14ac:dyDescent="0.15">
      <c r="A1116" s="40"/>
      <c r="C1116" s="40"/>
    </row>
    <row r="1117" spans="1:3" x14ac:dyDescent="0.15">
      <c r="A1117" s="40"/>
      <c r="C1117" s="40"/>
    </row>
    <row r="1118" spans="1:3" x14ac:dyDescent="0.15">
      <c r="A1118" s="40"/>
      <c r="C1118" s="40"/>
    </row>
    <row r="1119" spans="1:3" x14ac:dyDescent="0.15">
      <c r="A1119" s="40"/>
      <c r="C1119" s="40"/>
    </row>
    <row r="1120" spans="1:3" x14ac:dyDescent="0.15">
      <c r="A1120" s="40"/>
      <c r="C1120" s="40"/>
    </row>
    <row r="1121" spans="1:3" x14ac:dyDescent="0.15">
      <c r="A1121" s="40"/>
      <c r="C1121" s="40"/>
    </row>
    <row r="1122" spans="1:3" x14ac:dyDescent="0.15">
      <c r="A1122" s="40"/>
      <c r="C1122" s="40"/>
    </row>
    <row r="1123" spans="1:3" x14ac:dyDescent="0.15">
      <c r="A1123" s="40"/>
      <c r="C1123" s="40"/>
    </row>
    <row r="1124" spans="1:3" x14ac:dyDescent="0.15">
      <c r="A1124" s="40"/>
      <c r="C1124" s="40"/>
    </row>
    <row r="1125" spans="1:3" x14ac:dyDescent="0.15">
      <c r="A1125" s="40"/>
      <c r="C1125" s="40"/>
    </row>
    <row r="1126" spans="1:3" x14ac:dyDescent="0.15">
      <c r="A1126" s="40"/>
      <c r="C1126" s="40"/>
    </row>
    <row r="1127" spans="1:3" x14ac:dyDescent="0.15">
      <c r="A1127" s="40"/>
      <c r="C1127" s="40"/>
    </row>
    <row r="1128" spans="1:3" x14ac:dyDescent="0.15">
      <c r="A1128" s="40"/>
      <c r="C1128" s="40"/>
    </row>
    <row r="1129" spans="1:3" x14ac:dyDescent="0.15">
      <c r="A1129" s="40"/>
      <c r="C1129" s="40"/>
    </row>
    <row r="1130" spans="1:3" x14ac:dyDescent="0.15">
      <c r="A1130" s="40"/>
      <c r="C1130" s="40"/>
    </row>
    <row r="1131" spans="1:3" x14ac:dyDescent="0.15">
      <c r="A1131" s="40"/>
      <c r="C1131" s="40"/>
    </row>
    <row r="1132" spans="1:3" x14ac:dyDescent="0.15">
      <c r="A1132" s="40"/>
      <c r="C1132" s="40"/>
    </row>
    <row r="1133" spans="1:3" x14ac:dyDescent="0.15">
      <c r="A1133" s="40"/>
      <c r="C1133" s="40"/>
    </row>
    <row r="1134" spans="1:3" x14ac:dyDescent="0.15">
      <c r="A1134" s="40"/>
      <c r="C1134" s="40"/>
    </row>
    <row r="1135" spans="1:3" x14ac:dyDescent="0.15">
      <c r="A1135" s="40"/>
      <c r="C1135" s="40"/>
    </row>
    <row r="1136" spans="1:3" x14ac:dyDescent="0.15">
      <c r="A1136" s="40"/>
      <c r="C1136" s="40"/>
    </row>
    <row r="1137" spans="1:3" x14ac:dyDescent="0.15">
      <c r="A1137" s="40"/>
      <c r="C1137" s="40"/>
    </row>
    <row r="1138" spans="1:3" x14ac:dyDescent="0.15">
      <c r="A1138" s="40"/>
      <c r="C1138" s="40"/>
    </row>
    <row r="1139" spans="1:3" x14ac:dyDescent="0.15">
      <c r="A1139" s="40"/>
      <c r="C1139" s="40"/>
    </row>
    <row r="1140" spans="1:3" x14ac:dyDescent="0.15">
      <c r="A1140" s="40"/>
      <c r="C1140" s="40"/>
    </row>
    <row r="1141" spans="1:3" x14ac:dyDescent="0.15">
      <c r="A1141" s="40"/>
      <c r="C1141" s="40"/>
    </row>
    <row r="1142" spans="1:3" x14ac:dyDescent="0.15">
      <c r="A1142" s="40"/>
      <c r="C1142" s="40"/>
    </row>
    <row r="1143" spans="1:3" x14ac:dyDescent="0.15">
      <c r="A1143" s="40"/>
      <c r="C1143" s="40"/>
    </row>
    <row r="1144" spans="1:3" x14ac:dyDescent="0.15">
      <c r="A1144" s="40"/>
      <c r="C1144" s="40"/>
    </row>
    <row r="1145" spans="1:3" x14ac:dyDescent="0.15">
      <c r="A1145" s="40"/>
      <c r="C1145" s="40"/>
    </row>
    <row r="1146" spans="1:3" x14ac:dyDescent="0.15">
      <c r="A1146" s="40"/>
      <c r="C1146" s="40"/>
    </row>
    <row r="1147" spans="1:3" x14ac:dyDescent="0.15">
      <c r="A1147" s="40"/>
      <c r="C1147" s="40"/>
    </row>
    <row r="1148" spans="1:3" x14ac:dyDescent="0.15">
      <c r="A1148" s="40"/>
      <c r="C1148" s="40"/>
    </row>
    <row r="1149" spans="1:3" x14ac:dyDescent="0.15">
      <c r="A1149" s="40"/>
      <c r="C1149" s="40"/>
    </row>
    <row r="1150" spans="1:3" x14ac:dyDescent="0.15">
      <c r="A1150" s="40"/>
      <c r="C1150" s="40"/>
    </row>
    <row r="1151" spans="1:3" x14ac:dyDescent="0.15">
      <c r="A1151" s="40"/>
      <c r="C1151" s="40"/>
    </row>
    <row r="1152" spans="1:3" x14ac:dyDescent="0.15">
      <c r="A1152" s="40"/>
      <c r="C1152" s="40"/>
    </row>
    <row r="1153" spans="1:3" x14ac:dyDescent="0.15">
      <c r="A1153" s="40"/>
      <c r="C1153" s="40"/>
    </row>
    <row r="1154" spans="1:3" x14ac:dyDescent="0.15">
      <c r="A1154" s="40"/>
      <c r="C1154" s="40"/>
    </row>
    <row r="1155" spans="1:3" x14ac:dyDescent="0.15">
      <c r="A1155" s="40"/>
      <c r="C1155" s="40"/>
    </row>
    <row r="1156" spans="1:3" x14ac:dyDescent="0.15">
      <c r="A1156" s="40"/>
      <c r="C1156" s="40"/>
    </row>
    <row r="1157" spans="1:3" x14ac:dyDescent="0.15">
      <c r="A1157" s="40"/>
      <c r="C1157" s="40"/>
    </row>
    <row r="1158" spans="1:3" x14ac:dyDescent="0.15">
      <c r="A1158" s="40"/>
      <c r="C1158" s="40"/>
    </row>
    <row r="1159" spans="1:3" x14ac:dyDescent="0.15">
      <c r="A1159" s="40"/>
      <c r="C1159" s="40"/>
    </row>
    <row r="1160" spans="1:3" x14ac:dyDescent="0.15">
      <c r="A1160" s="40"/>
      <c r="C1160" s="40"/>
    </row>
    <row r="1161" spans="1:3" x14ac:dyDescent="0.15">
      <c r="A1161" s="40"/>
      <c r="C1161" s="40"/>
    </row>
    <row r="1162" spans="1:3" x14ac:dyDescent="0.15">
      <c r="A1162" s="40"/>
      <c r="C1162" s="40"/>
    </row>
    <row r="1163" spans="1:3" x14ac:dyDescent="0.15">
      <c r="A1163" s="40"/>
      <c r="C1163" s="40"/>
    </row>
    <row r="1164" spans="1:3" x14ac:dyDescent="0.15">
      <c r="A1164" s="40"/>
      <c r="C1164" s="40"/>
    </row>
    <row r="1165" spans="1:3" x14ac:dyDescent="0.15">
      <c r="A1165" s="40"/>
      <c r="C1165" s="40"/>
    </row>
    <row r="1166" spans="1:3" x14ac:dyDescent="0.15">
      <c r="A1166" s="40"/>
      <c r="C1166" s="40"/>
    </row>
    <row r="1167" spans="1:3" x14ac:dyDescent="0.15">
      <c r="A1167" s="40"/>
      <c r="C1167" s="40"/>
    </row>
    <row r="1168" spans="1:3" x14ac:dyDescent="0.15">
      <c r="A1168" s="40"/>
      <c r="C1168" s="40"/>
    </row>
    <row r="1169" spans="1:3" x14ac:dyDescent="0.15">
      <c r="A1169" s="40"/>
      <c r="C1169" s="40"/>
    </row>
    <row r="1170" spans="1:3" x14ac:dyDescent="0.15">
      <c r="A1170" s="40"/>
      <c r="C1170" s="40"/>
    </row>
    <row r="1171" spans="1:3" x14ac:dyDescent="0.15">
      <c r="A1171" s="40"/>
      <c r="C1171" s="40"/>
    </row>
    <row r="1172" spans="1:3" x14ac:dyDescent="0.15">
      <c r="A1172" s="40"/>
      <c r="C1172" s="40"/>
    </row>
    <row r="1173" spans="1:3" x14ac:dyDescent="0.15">
      <c r="A1173" s="40"/>
      <c r="C1173" s="40"/>
    </row>
    <row r="1174" spans="1:3" x14ac:dyDescent="0.15">
      <c r="A1174" s="40"/>
      <c r="C1174" s="40"/>
    </row>
    <row r="1175" spans="1:3" x14ac:dyDescent="0.15">
      <c r="A1175" s="40"/>
      <c r="C1175" s="40"/>
    </row>
    <row r="1176" spans="1:3" x14ac:dyDescent="0.15">
      <c r="A1176" s="40"/>
      <c r="C1176" s="40"/>
    </row>
    <row r="1177" spans="1:3" x14ac:dyDescent="0.15">
      <c r="A1177" s="40"/>
      <c r="C1177" s="40"/>
    </row>
    <row r="1178" spans="1:3" x14ac:dyDescent="0.15">
      <c r="A1178" s="40"/>
      <c r="C1178" s="40"/>
    </row>
    <row r="1179" spans="1:3" x14ac:dyDescent="0.15">
      <c r="A1179" s="40"/>
      <c r="C1179" s="40"/>
    </row>
    <row r="1180" spans="1:3" x14ac:dyDescent="0.15">
      <c r="A1180" s="40"/>
      <c r="C1180" s="40"/>
    </row>
    <row r="1181" spans="1:3" x14ac:dyDescent="0.15">
      <c r="A1181" s="40"/>
      <c r="C1181" s="40"/>
    </row>
    <row r="1182" spans="1:3" x14ac:dyDescent="0.15">
      <c r="A1182" s="40"/>
      <c r="C1182" s="40"/>
    </row>
    <row r="1183" spans="1:3" x14ac:dyDescent="0.15">
      <c r="A1183" s="40"/>
      <c r="C1183" s="40"/>
    </row>
    <row r="1184" spans="1:3" x14ac:dyDescent="0.15">
      <c r="A1184" s="40"/>
      <c r="C1184" s="40"/>
    </row>
    <row r="1185" spans="1:3" x14ac:dyDescent="0.15">
      <c r="A1185" s="40"/>
      <c r="C1185" s="40"/>
    </row>
    <row r="1186" spans="1:3" x14ac:dyDescent="0.15">
      <c r="A1186" s="40"/>
      <c r="C1186" s="40"/>
    </row>
    <row r="1187" spans="1:3" x14ac:dyDescent="0.15">
      <c r="A1187" s="40"/>
      <c r="C1187" s="40"/>
    </row>
    <row r="1188" spans="1:3" x14ac:dyDescent="0.15">
      <c r="A1188" s="40"/>
      <c r="C1188" s="40"/>
    </row>
    <row r="1189" spans="1:3" x14ac:dyDescent="0.15">
      <c r="A1189" s="40"/>
      <c r="C1189" s="40"/>
    </row>
    <row r="1190" spans="1:3" x14ac:dyDescent="0.15">
      <c r="A1190" s="40"/>
      <c r="C1190" s="40"/>
    </row>
    <row r="1191" spans="1:3" x14ac:dyDescent="0.15">
      <c r="A1191" s="40"/>
      <c r="C1191" s="40"/>
    </row>
    <row r="1192" spans="1:3" x14ac:dyDescent="0.15">
      <c r="A1192" s="40"/>
      <c r="C1192" s="40"/>
    </row>
    <row r="1193" spans="1:3" x14ac:dyDescent="0.15">
      <c r="A1193" s="40"/>
      <c r="C1193" s="40"/>
    </row>
    <row r="1194" spans="1:3" x14ac:dyDescent="0.15">
      <c r="A1194" s="40"/>
      <c r="C1194" s="40"/>
    </row>
    <row r="1195" spans="1:3" x14ac:dyDescent="0.15">
      <c r="A1195" s="40"/>
      <c r="C1195" s="40"/>
    </row>
    <row r="1196" spans="1:3" x14ac:dyDescent="0.15">
      <c r="A1196" s="40"/>
      <c r="C1196" s="40"/>
    </row>
    <row r="1197" spans="1:3" x14ac:dyDescent="0.15">
      <c r="A1197" s="40"/>
      <c r="C1197" s="40"/>
    </row>
    <row r="1198" spans="1:3" x14ac:dyDescent="0.15">
      <c r="A1198" s="40"/>
      <c r="C1198" s="40"/>
    </row>
    <row r="1199" spans="1:3" x14ac:dyDescent="0.15">
      <c r="A1199" s="40"/>
      <c r="C1199" s="40"/>
    </row>
    <row r="1200" spans="1:3" x14ac:dyDescent="0.15">
      <c r="A1200" s="40"/>
      <c r="C1200" s="40"/>
    </row>
    <row r="1201" spans="1:3" x14ac:dyDescent="0.15">
      <c r="A1201" s="40"/>
      <c r="C1201" s="40"/>
    </row>
    <row r="1202" spans="1:3" x14ac:dyDescent="0.15">
      <c r="A1202" s="40"/>
      <c r="C1202" s="40"/>
    </row>
    <row r="1203" spans="1:3" x14ac:dyDescent="0.15">
      <c r="A1203" s="40"/>
      <c r="C1203" s="40"/>
    </row>
    <row r="1204" spans="1:3" x14ac:dyDescent="0.15">
      <c r="A1204" s="40"/>
      <c r="C1204" s="40"/>
    </row>
    <row r="1205" spans="1:3" x14ac:dyDescent="0.15">
      <c r="A1205" s="40"/>
      <c r="C1205" s="40"/>
    </row>
    <row r="1206" spans="1:3" x14ac:dyDescent="0.15">
      <c r="A1206" s="40"/>
      <c r="C1206" s="40"/>
    </row>
    <row r="1207" spans="1:3" x14ac:dyDescent="0.15">
      <c r="A1207" s="40"/>
      <c r="C1207" s="40"/>
    </row>
    <row r="1208" spans="1:3" x14ac:dyDescent="0.15">
      <c r="A1208" s="40"/>
      <c r="C1208" s="40"/>
    </row>
    <row r="1209" spans="1:3" x14ac:dyDescent="0.15">
      <c r="A1209" s="40"/>
      <c r="C1209" s="40"/>
    </row>
    <row r="1210" spans="1:3" x14ac:dyDescent="0.15">
      <c r="A1210" s="40"/>
      <c r="C1210" s="40"/>
    </row>
    <row r="1211" spans="1:3" x14ac:dyDescent="0.15">
      <c r="A1211" s="40"/>
      <c r="C1211" s="40"/>
    </row>
    <row r="1212" spans="1:3" x14ac:dyDescent="0.15">
      <c r="A1212" s="40"/>
      <c r="C1212" s="40"/>
    </row>
    <row r="1213" spans="1:3" x14ac:dyDescent="0.15">
      <c r="A1213" s="40"/>
      <c r="C1213" s="40"/>
    </row>
    <row r="1214" spans="1:3" x14ac:dyDescent="0.15">
      <c r="A1214" s="40"/>
      <c r="C1214" s="40"/>
    </row>
    <row r="1215" spans="1:3" x14ac:dyDescent="0.15">
      <c r="A1215" s="40"/>
      <c r="C1215" s="40"/>
    </row>
    <row r="1216" spans="1:3" x14ac:dyDescent="0.15">
      <c r="A1216" s="40"/>
      <c r="C1216" s="40"/>
    </row>
    <row r="1217" spans="1:3" x14ac:dyDescent="0.15">
      <c r="A1217" s="40"/>
      <c r="C1217" s="40"/>
    </row>
    <row r="1218" spans="1:3" x14ac:dyDescent="0.15">
      <c r="A1218" s="40"/>
      <c r="C1218" s="40"/>
    </row>
    <row r="1219" spans="1:3" x14ac:dyDescent="0.15">
      <c r="A1219" s="40"/>
      <c r="C1219" s="40"/>
    </row>
    <row r="1220" spans="1:3" x14ac:dyDescent="0.15">
      <c r="A1220" s="40"/>
      <c r="C1220" s="40"/>
    </row>
    <row r="1221" spans="1:3" x14ac:dyDescent="0.15">
      <c r="A1221" s="40"/>
      <c r="C1221" s="40"/>
    </row>
    <row r="1222" spans="1:3" x14ac:dyDescent="0.15">
      <c r="A1222" s="40"/>
      <c r="C1222" s="40"/>
    </row>
    <row r="1223" spans="1:3" x14ac:dyDescent="0.15">
      <c r="A1223" s="40"/>
      <c r="C1223" s="40"/>
    </row>
    <row r="1224" spans="1:3" x14ac:dyDescent="0.15">
      <c r="A1224" s="40"/>
      <c r="C1224" s="40"/>
    </row>
    <row r="1225" spans="1:3" x14ac:dyDescent="0.15">
      <c r="A1225" s="40"/>
      <c r="C1225" s="40"/>
    </row>
    <row r="1226" spans="1:3" x14ac:dyDescent="0.15">
      <c r="A1226" s="40"/>
      <c r="C1226" s="40"/>
    </row>
    <row r="1227" spans="1:3" x14ac:dyDescent="0.15">
      <c r="A1227" s="40"/>
      <c r="C1227" s="40"/>
    </row>
    <row r="1228" spans="1:3" x14ac:dyDescent="0.15">
      <c r="A1228" s="40"/>
      <c r="C1228" s="40"/>
    </row>
    <row r="1229" spans="1:3" x14ac:dyDescent="0.15">
      <c r="A1229" s="40"/>
      <c r="C1229" s="40"/>
    </row>
    <row r="1230" spans="1:3" x14ac:dyDescent="0.15">
      <c r="A1230" s="40"/>
      <c r="C1230" s="40"/>
    </row>
    <row r="1231" spans="1:3" x14ac:dyDescent="0.15">
      <c r="A1231" s="40"/>
      <c r="C1231" s="40"/>
    </row>
    <row r="1232" spans="1:3" x14ac:dyDescent="0.15">
      <c r="A1232" s="40"/>
      <c r="C1232" s="40"/>
    </row>
    <row r="1233" spans="1:3" x14ac:dyDescent="0.15">
      <c r="A1233" s="40"/>
      <c r="C1233" s="40"/>
    </row>
    <row r="1234" spans="1:3" x14ac:dyDescent="0.15">
      <c r="A1234" s="40"/>
      <c r="C1234" s="40"/>
    </row>
    <row r="1235" spans="1:3" x14ac:dyDescent="0.15">
      <c r="A1235" s="40"/>
      <c r="C1235" s="40"/>
    </row>
    <row r="1236" spans="1:3" x14ac:dyDescent="0.15">
      <c r="A1236" s="40"/>
      <c r="C1236" s="40"/>
    </row>
    <row r="1237" spans="1:3" x14ac:dyDescent="0.15">
      <c r="A1237" s="40"/>
      <c r="C1237" s="40"/>
    </row>
    <row r="1238" spans="1:3" x14ac:dyDescent="0.15">
      <c r="A1238" s="40"/>
      <c r="C1238" s="40"/>
    </row>
    <row r="1239" spans="1:3" x14ac:dyDescent="0.15">
      <c r="A1239" s="40"/>
      <c r="C1239" s="40"/>
    </row>
    <row r="1240" spans="1:3" x14ac:dyDescent="0.15">
      <c r="A1240" s="40"/>
      <c r="C1240" s="40"/>
    </row>
    <row r="1241" spans="1:3" x14ac:dyDescent="0.15">
      <c r="A1241" s="40"/>
      <c r="C1241" s="40"/>
    </row>
    <row r="1242" spans="1:3" x14ac:dyDescent="0.15">
      <c r="A1242" s="40"/>
      <c r="C1242" s="40"/>
    </row>
    <row r="1243" spans="1:3" x14ac:dyDescent="0.15">
      <c r="A1243" s="40"/>
      <c r="C1243" s="40"/>
    </row>
    <row r="1244" spans="1:3" x14ac:dyDescent="0.15">
      <c r="A1244" s="40"/>
      <c r="C1244" s="40"/>
    </row>
    <row r="1245" spans="1:3" x14ac:dyDescent="0.15">
      <c r="A1245" s="40"/>
      <c r="C1245" s="40"/>
    </row>
    <row r="1246" spans="1:3" x14ac:dyDescent="0.15">
      <c r="A1246" s="40"/>
      <c r="C1246" s="40"/>
    </row>
    <row r="1247" spans="1:3" x14ac:dyDescent="0.15">
      <c r="A1247" s="40"/>
      <c r="C1247" s="40"/>
    </row>
    <row r="1248" spans="1:3" x14ac:dyDescent="0.15">
      <c r="A1248" s="40"/>
      <c r="C1248" s="40"/>
    </row>
    <row r="1249" spans="1:3" x14ac:dyDescent="0.15">
      <c r="A1249" s="40"/>
      <c r="C1249" s="40"/>
    </row>
    <row r="1250" spans="1:3" x14ac:dyDescent="0.15">
      <c r="A1250" s="40"/>
      <c r="C1250" s="40"/>
    </row>
    <row r="1251" spans="1:3" x14ac:dyDescent="0.15">
      <c r="A1251" s="40"/>
      <c r="C1251" s="40"/>
    </row>
    <row r="1252" spans="1:3" x14ac:dyDescent="0.15">
      <c r="A1252" s="40"/>
      <c r="C1252" s="40"/>
    </row>
    <row r="1253" spans="1:3" x14ac:dyDescent="0.15">
      <c r="A1253" s="40"/>
      <c r="C1253" s="40"/>
    </row>
    <row r="1254" spans="1:3" x14ac:dyDescent="0.15">
      <c r="A1254" s="40"/>
      <c r="C1254" s="40"/>
    </row>
    <row r="1255" spans="1:3" x14ac:dyDescent="0.15">
      <c r="A1255" s="40"/>
      <c r="C1255" s="40"/>
    </row>
    <row r="1256" spans="1:3" x14ac:dyDescent="0.15">
      <c r="A1256" s="40"/>
      <c r="C1256" s="40"/>
    </row>
    <row r="1257" spans="1:3" x14ac:dyDescent="0.15">
      <c r="A1257" s="40"/>
      <c r="C1257" s="40"/>
    </row>
    <row r="1258" spans="1:3" x14ac:dyDescent="0.15">
      <c r="A1258" s="40"/>
      <c r="C1258" s="40"/>
    </row>
    <row r="1259" spans="1:3" x14ac:dyDescent="0.15">
      <c r="A1259" s="40"/>
      <c r="C1259" s="40"/>
    </row>
    <row r="1260" spans="1:3" x14ac:dyDescent="0.15">
      <c r="A1260" s="40"/>
      <c r="C1260" s="40"/>
    </row>
    <row r="1261" spans="1:3" x14ac:dyDescent="0.15">
      <c r="A1261" s="40"/>
      <c r="C1261" s="40"/>
    </row>
    <row r="1262" spans="1:3" x14ac:dyDescent="0.15">
      <c r="A1262" s="40"/>
      <c r="C1262" s="40"/>
    </row>
    <row r="1263" spans="1:3" x14ac:dyDescent="0.15">
      <c r="A1263" s="40"/>
      <c r="C1263" s="40"/>
    </row>
    <row r="1264" spans="1:3" x14ac:dyDescent="0.15">
      <c r="A1264" s="40"/>
      <c r="C1264" s="40"/>
    </row>
    <row r="1265" spans="1:3" x14ac:dyDescent="0.15">
      <c r="A1265" s="40"/>
      <c r="C1265" s="40"/>
    </row>
    <row r="1266" spans="1:3" x14ac:dyDescent="0.15">
      <c r="A1266" s="40"/>
      <c r="C1266" s="40"/>
    </row>
    <row r="1267" spans="1:3" x14ac:dyDescent="0.15">
      <c r="A1267" s="40"/>
      <c r="C1267" s="40"/>
    </row>
    <row r="1268" spans="1:3" x14ac:dyDescent="0.15">
      <c r="A1268" s="40"/>
      <c r="C1268" s="40"/>
    </row>
    <row r="1269" spans="1:3" x14ac:dyDescent="0.15">
      <c r="A1269" s="40"/>
      <c r="C1269" s="40"/>
    </row>
    <row r="1270" spans="1:3" x14ac:dyDescent="0.15">
      <c r="A1270" s="40"/>
      <c r="C1270" s="40"/>
    </row>
    <row r="1271" spans="1:3" x14ac:dyDescent="0.15">
      <c r="A1271" s="40"/>
      <c r="C1271" s="40"/>
    </row>
    <row r="1272" spans="1:3" x14ac:dyDescent="0.15">
      <c r="A1272" s="40"/>
      <c r="C1272" s="40"/>
    </row>
    <row r="1273" spans="1:3" x14ac:dyDescent="0.15">
      <c r="A1273" s="40"/>
      <c r="C1273" s="40"/>
    </row>
    <row r="1274" spans="1:3" x14ac:dyDescent="0.15">
      <c r="A1274" s="40"/>
      <c r="C1274" s="40"/>
    </row>
    <row r="1275" spans="1:3" x14ac:dyDescent="0.15">
      <c r="A1275" s="40"/>
      <c r="C1275" s="40"/>
    </row>
    <row r="1276" spans="1:3" x14ac:dyDescent="0.15">
      <c r="A1276" s="40"/>
      <c r="C1276" s="40"/>
    </row>
    <row r="1277" spans="1:3" x14ac:dyDescent="0.15">
      <c r="A1277" s="40"/>
      <c r="C1277" s="40"/>
    </row>
    <row r="1278" spans="1:3" x14ac:dyDescent="0.15">
      <c r="A1278" s="40"/>
      <c r="C1278" s="40"/>
    </row>
    <row r="1279" spans="1:3" x14ac:dyDescent="0.15">
      <c r="A1279" s="40"/>
      <c r="C1279" s="40"/>
    </row>
    <row r="1280" spans="1:3" x14ac:dyDescent="0.15">
      <c r="A1280" s="40"/>
      <c r="C1280" s="40"/>
    </row>
    <row r="1281" spans="1:3" x14ac:dyDescent="0.15">
      <c r="A1281" s="40"/>
      <c r="C1281" s="40"/>
    </row>
    <row r="1282" spans="1:3" x14ac:dyDescent="0.15">
      <c r="A1282" s="40"/>
      <c r="C1282" s="40"/>
    </row>
    <row r="1283" spans="1:3" x14ac:dyDescent="0.15">
      <c r="A1283" s="40"/>
      <c r="C1283" s="40"/>
    </row>
    <row r="1284" spans="1:3" x14ac:dyDescent="0.15">
      <c r="A1284" s="40"/>
      <c r="C1284" s="40"/>
    </row>
    <row r="1285" spans="1:3" x14ac:dyDescent="0.15">
      <c r="A1285" s="40"/>
      <c r="C1285" s="40"/>
    </row>
    <row r="1286" spans="1:3" x14ac:dyDescent="0.15">
      <c r="A1286" s="40"/>
      <c r="C1286" s="40"/>
    </row>
    <row r="1287" spans="1:3" x14ac:dyDescent="0.15">
      <c r="A1287" s="40"/>
      <c r="C1287" s="40"/>
    </row>
    <row r="1288" spans="1:3" x14ac:dyDescent="0.15">
      <c r="A1288" s="40"/>
      <c r="C1288" s="40"/>
    </row>
    <row r="1289" spans="1:3" x14ac:dyDescent="0.15">
      <c r="A1289" s="40"/>
      <c r="C1289" s="40"/>
    </row>
    <row r="1290" spans="1:3" x14ac:dyDescent="0.15">
      <c r="A1290" s="40"/>
      <c r="C1290" s="40"/>
    </row>
    <row r="1291" spans="1:3" x14ac:dyDescent="0.15">
      <c r="A1291" s="40"/>
      <c r="C1291" s="40"/>
    </row>
    <row r="1292" spans="1:3" x14ac:dyDescent="0.15">
      <c r="A1292" s="40"/>
      <c r="C1292" s="40"/>
    </row>
    <row r="1293" spans="1:3" x14ac:dyDescent="0.15">
      <c r="A1293" s="40"/>
      <c r="C1293" s="40"/>
    </row>
    <row r="1294" spans="1:3" x14ac:dyDescent="0.15">
      <c r="A1294" s="40"/>
      <c r="C1294" s="40"/>
    </row>
    <row r="1295" spans="1:3" x14ac:dyDescent="0.15">
      <c r="A1295" s="40"/>
      <c r="C1295" s="40"/>
    </row>
    <row r="1296" spans="1:3" x14ac:dyDescent="0.15">
      <c r="A1296" s="40"/>
      <c r="C1296" s="40"/>
    </row>
    <row r="1297" spans="1:3" x14ac:dyDescent="0.15">
      <c r="A1297" s="40"/>
      <c r="C1297" s="40"/>
    </row>
    <row r="1298" spans="1:3" x14ac:dyDescent="0.15">
      <c r="A1298" s="40"/>
      <c r="C1298" s="40"/>
    </row>
    <row r="1299" spans="1:3" x14ac:dyDescent="0.15">
      <c r="A1299" s="40"/>
      <c r="C1299" s="40"/>
    </row>
    <row r="1300" spans="1:3" x14ac:dyDescent="0.15">
      <c r="A1300" s="40"/>
      <c r="C1300" s="40"/>
    </row>
    <row r="1301" spans="1:3" x14ac:dyDescent="0.15">
      <c r="A1301" s="40"/>
      <c r="C1301" s="40"/>
    </row>
    <row r="1302" spans="1:3" x14ac:dyDescent="0.15">
      <c r="A1302" s="40"/>
      <c r="C1302" s="40"/>
    </row>
    <row r="1303" spans="1:3" x14ac:dyDescent="0.15">
      <c r="A1303" s="40"/>
      <c r="C1303" s="40"/>
    </row>
    <row r="1304" spans="1:3" x14ac:dyDescent="0.15">
      <c r="A1304" s="40"/>
      <c r="C1304" s="40"/>
    </row>
    <row r="1305" spans="1:3" x14ac:dyDescent="0.15">
      <c r="A1305" s="40"/>
      <c r="C1305" s="40"/>
    </row>
    <row r="1306" spans="1:3" x14ac:dyDescent="0.15">
      <c r="A1306" s="40"/>
      <c r="C1306" s="40"/>
    </row>
    <row r="1307" spans="1:3" x14ac:dyDescent="0.15">
      <c r="A1307" s="40"/>
      <c r="C1307" s="40"/>
    </row>
    <row r="1308" spans="1:3" x14ac:dyDescent="0.15">
      <c r="A1308" s="40"/>
      <c r="C1308" s="40"/>
    </row>
    <row r="1309" spans="1:3" x14ac:dyDescent="0.15">
      <c r="A1309" s="40"/>
      <c r="C1309" s="40"/>
    </row>
    <row r="1310" spans="1:3" x14ac:dyDescent="0.15">
      <c r="A1310" s="40"/>
      <c r="C1310" s="40"/>
    </row>
    <row r="1311" spans="1:3" x14ac:dyDescent="0.15">
      <c r="A1311" s="40"/>
      <c r="C1311" s="40"/>
    </row>
    <row r="1312" spans="1:3" x14ac:dyDescent="0.15">
      <c r="A1312" s="40"/>
      <c r="C1312" s="40"/>
    </row>
    <row r="1313" spans="1:3" x14ac:dyDescent="0.15">
      <c r="A1313" s="40"/>
      <c r="C1313" s="40"/>
    </row>
    <row r="1314" spans="1:3" x14ac:dyDescent="0.15">
      <c r="A1314" s="40"/>
      <c r="C1314" s="40"/>
    </row>
    <row r="1315" spans="1:3" x14ac:dyDescent="0.15">
      <c r="A1315" s="40"/>
      <c r="C1315" s="40"/>
    </row>
    <row r="1316" spans="1:3" x14ac:dyDescent="0.15">
      <c r="A1316" s="40"/>
      <c r="C1316" s="40"/>
    </row>
    <row r="1317" spans="1:3" x14ac:dyDescent="0.15">
      <c r="A1317" s="40"/>
      <c r="C1317" s="40"/>
    </row>
    <row r="1318" spans="1:3" x14ac:dyDescent="0.15">
      <c r="A1318" s="40"/>
      <c r="C1318" s="40"/>
    </row>
    <row r="1319" spans="1:3" x14ac:dyDescent="0.15">
      <c r="A1319" s="40"/>
      <c r="C1319" s="40"/>
    </row>
    <row r="1320" spans="1:3" x14ac:dyDescent="0.15">
      <c r="A1320" s="40"/>
      <c r="C1320" s="40"/>
    </row>
    <row r="1321" spans="1:3" x14ac:dyDescent="0.15">
      <c r="A1321" s="40"/>
      <c r="C1321" s="40"/>
    </row>
    <row r="1322" spans="1:3" x14ac:dyDescent="0.15">
      <c r="A1322" s="40"/>
      <c r="C1322" s="40"/>
    </row>
    <row r="1323" spans="1:3" x14ac:dyDescent="0.15">
      <c r="A1323" s="40"/>
      <c r="C1323" s="40"/>
    </row>
    <row r="1324" spans="1:3" x14ac:dyDescent="0.15">
      <c r="A1324" s="40"/>
      <c r="C1324" s="40"/>
    </row>
    <row r="1325" spans="1:3" x14ac:dyDescent="0.15">
      <c r="A1325" s="40"/>
      <c r="C1325" s="40"/>
    </row>
    <row r="1326" spans="1:3" x14ac:dyDescent="0.15">
      <c r="A1326" s="40"/>
      <c r="C1326" s="40"/>
    </row>
    <row r="1327" spans="1:3" x14ac:dyDescent="0.15">
      <c r="A1327" s="40"/>
      <c r="C1327" s="40"/>
    </row>
    <row r="1328" spans="1:3" x14ac:dyDescent="0.15">
      <c r="A1328" s="40"/>
      <c r="C1328" s="40"/>
    </row>
    <row r="1329" spans="1:3" x14ac:dyDescent="0.15">
      <c r="A1329" s="40"/>
      <c r="C1329" s="40"/>
    </row>
    <row r="1330" spans="1:3" x14ac:dyDescent="0.15">
      <c r="A1330" s="40"/>
      <c r="C1330" s="40"/>
    </row>
    <row r="1331" spans="1:3" x14ac:dyDescent="0.15">
      <c r="A1331" s="40"/>
      <c r="C1331" s="40"/>
    </row>
    <row r="1332" spans="1:3" x14ac:dyDescent="0.15">
      <c r="A1332" s="40"/>
      <c r="C1332" s="40"/>
    </row>
    <row r="1333" spans="1:3" x14ac:dyDescent="0.15">
      <c r="A1333" s="40"/>
      <c r="C1333" s="40"/>
    </row>
    <row r="1334" spans="1:3" x14ac:dyDescent="0.15">
      <c r="A1334" s="40"/>
      <c r="C1334" s="40"/>
    </row>
    <row r="1335" spans="1:3" x14ac:dyDescent="0.15">
      <c r="A1335" s="40"/>
      <c r="C1335" s="40"/>
    </row>
    <row r="1336" spans="1:3" x14ac:dyDescent="0.15">
      <c r="A1336" s="40"/>
      <c r="C1336" s="40"/>
    </row>
    <row r="1337" spans="1:3" x14ac:dyDescent="0.15">
      <c r="A1337" s="40"/>
      <c r="C1337" s="40"/>
    </row>
    <row r="1338" spans="1:3" x14ac:dyDescent="0.15">
      <c r="A1338" s="40"/>
      <c r="C1338" s="40"/>
    </row>
    <row r="1339" spans="1:3" x14ac:dyDescent="0.15">
      <c r="A1339" s="40"/>
      <c r="C1339" s="40"/>
    </row>
    <row r="1340" spans="1:3" x14ac:dyDescent="0.15">
      <c r="A1340" s="40"/>
      <c r="C1340" s="40"/>
    </row>
    <row r="1341" spans="1:3" x14ac:dyDescent="0.15">
      <c r="A1341" s="40"/>
      <c r="C1341" s="40"/>
    </row>
    <row r="1342" spans="1:3" x14ac:dyDescent="0.15">
      <c r="A1342" s="40"/>
      <c r="C1342" s="40"/>
    </row>
    <row r="1343" spans="1:3" x14ac:dyDescent="0.15">
      <c r="A1343" s="40"/>
      <c r="C1343" s="40"/>
    </row>
    <row r="1344" spans="1:3" x14ac:dyDescent="0.15">
      <c r="A1344" s="40"/>
      <c r="C1344" s="40"/>
    </row>
    <row r="1345" spans="1:3" x14ac:dyDescent="0.15">
      <c r="A1345" s="40"/>
      <c r="C1345" s="40"/>
    </row>
    <row r="1346" spans="1:3" x14ac:dyDescent="0.15">
      <c r="A1346" s="40"/>
      <c r="C1346" s="40"/>
    </row>
    <row r="1347" spans="1:3" x14ac:dyDescent="0.15">
      <c r="A1347" s="40"/>
      <c r="C1347" s="40"/>
    </row>
    <row r="1348" spans="1:3" x14ac:dyDescent="0.15">
      <c r="A1348" s="40"/>
      <c r="C1348" s="40"/>
    </row>
    <row r="1349" spans="1:3" x14ac:dyDescent="0.15">
      <c r="A1349" s="40"/>
      <c r="C1349" s="40"/>
    </row>
    <row r="1350" spans="1:3" x14ac:dyDescent="0.15">
      <c r="A1350" s="40"/>
      <c r="C1350" s="40"/>
    </row>
    <row r="1351" spans="1:3" x14ac:dyDescent="0.15">
      <c r="A1351" s="40"/>
      <c r="C1351" s="40"/>
    </row>
    <row r="1352" spans="1:3" x14ac:dyDescent="0.15">
      <c r="A1352" s="40"/>
      <c r="C1352" s="40"/>
    </row>
    <row r="1353" spans="1:3" x14ac:dyDescent="0.15">
      <c r="A1353" s="40"/>
      <c r="C1353" s="40"/>
    </row>
    <row r="1354" spans="1:3" x14ac:dyDescent="0.15">
      <c r="A1354" s="40"/>
      <c r="C1354" s="40"/>
    </row>
    <row r="1355" spans="1:3" x14ac:dyDescent="0.15">
      <c r="A1355" s="40"/>
      <c r="C1355" s="40"/>
    </row>
    <row r="1356" spans="1:3" x14ac:dyDescent="0.15">
      <c r="A1356" s="40"/>
      <c r="C1356" s="40"/>
    </row>
    <row r="1357" spans="1:3" x14ac:dyDescent="0.15">
      <c r="A1357" s="40"/>
      <c r="C1357" s="40"/>
    </row>
    <row r="1358" spans="1:3" x14ac:dyDescent="0.15">
      <c r="A1358" s="40"/>
      <c r="C1358" s="40"/>
    </row>
    <row r="1359" spans="1:3" x14ac:dyDescent="0.15">
      <c r="A1359" s="40"/>
      <c r="C1359" s="40"/>
    </row>
    <row r="1360" spans="1:3" x14ac:dyDescent="0.15">
      <c r="A1360" s="40"/>
      <c r="C1360" s="40"/>
    </row>
    <row r="1361" spans="1:3" x14ac:dyDescent="0.15">
      <c r="A1361" s="40"/>
      <c r="C1361" s="40"/>
    </row>
    <row r="1362" spans="1:3" x14ac:dyDescent="0.15">
      <c r="A1362" s="40"/>
      <c r="C1362" s="40"/>
    </row>
    <row r="1363" spans="1:3" x14ac:dyDescent="0.15">
      <c r="A1363" s="40"/>
      <c r="C1363" s="40"/>
    </row>
    <row r="1364" spans="1:3" x14ac:dyDescent="0.15">
      <c r="A1364" s="40"/>
      <c r="C1364" s="40"/>
    </row>
    <row r="1365" spans="1:3" x14ac:dyDescent="0.15">
      <c r="A1365" s="40"/>
      <c r="C1365" s="40"/>
    </row>
    <row r="1366" spans="1:3" x14ac:dyDescent="0.15">
      <c r="A1366" s="40"/>
      <c r="C1366" s="40"/>
    </row>
    <row r="1367" spans="1:3" x14ac:dyDescent="0.15">
      <c r="A1367" s="40"/>
      <c r="C1367" s="40"/>
    </row>
    <row r="1368" spans="1:3" x14ac:dyDescent="0.15">
      <c r="A1368" s="40"/>
      <c r="C1368" s="40"/>
    </row>
    <row r="1369" spans="1:3" x14ac:dyDescent="0.15">
      <c r="A1369" s="40"/>
      <c r="C1369" s="40"/>
    </row>
    <row r="1370" spans="1:3" x14ac:dyDescent="0.15">
      <c r="A1370" s="40"/>
      <c r="C1370" s="40"/>
    </row>
    <row r="1371" spans="1:3" x14ac:dyDescent="0.15">
      <c r="A1371" s="40"/>
      <c r="C1371" s="40"/>
    </row>
    <row r="1372" spans="1:3" x14ac:dyDescent="0.15">
      <c r="A1372" s="40"/>
      <c r="C1372" s="40"/>
    </row>
    <row r="1373" spans="1:3" x14ac:dyDescent="0.15">
      <c r="A1373" s="40"/>
      <c r="C1373" s="40"/>
    </row>
    <row r="1374" spans="1:3" x14ac:dyDescent="0.15">
      <c r="A1374" s="40"/>
      <c r="C1374" s="40"/>
    </row>
    <row r="1375" spans="1:3" x14ac:dyDescent="0.15">
      <c r="A1375" s="40"/>
      <c r="C1375" s="40"/>
    </row>
    <row r="1376" spans="1:3" x14ac:dyDescent="0.15">
      <c r="A1376" s="40"/>
      <c r="C1376" s="40"/>
    </row>
    <row r="1377" spans="1:3" x14ac:dyDescent="0.15">
      <c r="A1377" s="40"/>
      <c r="C1377" s="40"/>
    </row>
    <row r="1378" spans="1:3" x14ac:dyDescent="0.15">
      <c r="A1378" s="40"/>
      <c r="C1378" s="40"/>
    </row>
    <row r="1379" spans="1:3" x14ac:dyDescent="0.15">
      <c r="A1379" s="40"/>
      <c r="C1379" s="40"/>
    </row>
    <row r="1380" spans="1:3" x14ac:dyDescent="0.15">
      <c r="A1380" s="40"/>
      <c r="C1380" s="40"/>
    </row>
    <row r="1381" spans="1:3" x14ac:dyDescent="0.15">
      <c r="A1381" s="40"/>
      <c r="C1381" s="40"/>
    </row>
    <row r="1382" spans="1:3" x14ac:dyDescent="0.15">
      <c r="A1382" s="40"/>
      <c r="C1382" s="40"/>
    </row>
    <row r="1383" spans="1:3" x14ac:dyDescent="0.15">
      <c r="A1383" s="40"/>
      <c r="C1383" s="40"/>
    </row>
    <row r="1384" spans="1:3" x14ac:dyDescent="0.15">
      <c r="A1384" s="40"/>
      <c r="C1384" s="40"/>
    </row>
    <row r="1385" spans="1:3" x14ac:dyDescent="0.15">
      <c r="A1385" s="40"/>
      <c r="C1385" s="40"/>
    </row>
    <row r="1386" spans="1:3" x14ac:dyDescent="0.15">
      <c r="A1386" s="40"/>
      <c r="C1386" s="40"/>
    </row>
    <row r="1387" spans="1:3" x14ac:dyDescent="0.15">
      <c r="A1387" s="40"/>
      <c r="C1387" s="40"/>
    </row>
    <row r="1388" spans="1:3" x14ac:dyDescent="0.15">
      <c r="A1388" s="40"/>
      <c r="C1388" s="40"/>
    </row>
    <row r="1389" spans="1:3" x14ac:dyDescent="0.15">
      <c r="A1389" s="40"/>
      <c r="C1389" s="40"/>
    </row>
    <row r="1390" spans="1:3" x14ac:dyDescent="0.15">
      <c r="A1390" s="40"/>
      <c r="C1390" s="40"/>
    </row>
    <row r="1391" spans="1:3" x14ac:dyDescent="0.15">
      <c r="A1391" s="40"/>
      <c r="C1391" s="40"/>
    </row>
    <row r="1392" spans="1:3" x14ac:dyDescent="0.15">
      <c r="A1392" s="40"/>
      <c r="C1392" s="40"/>
    </row>
    <row r="1393" spans="1:3" x14ac:dyDescent="0.15">
      <c r="A1393" s="40"/>
      <c r="C1393" s="40"/>
    </row>
    <row r="1394" spans="1:3" x14ac:dyDescent="0.15">
      <c r="A1394" s="40"/>
      <c r="C1394" s="40"/>
    </row>
    <row r="1395" spans="1:3" x14ac:dyDescent="0.15">
      <c r="A1395" s="40"/>
      <c r="C1395" s="40"/>
    </row>
    <row r="1396" spans="1:3" x14ac:dyDescent="0.15">
      <c r="A1396" s="40"/>
      <c r="C1396" s="40"/>
    </row>
    <row r="1397" spans="1:3" x14ac:dyDescent="0.15">
      <c r="A1397" s="40"/>
      <c r="C1397" s="40"/>
    </row>
    <row r="1398" spans="1:3" x14ac:dyDescent="0.15">
      <c r="A1398" s="40"/>
      <c r="C1398" s="40"/>
    </row>
    <row r="1399" spans="1:3" x14ac:dyDescent="0.15">
      <c r="A1399" s="40"/>
      <c r="C1399" s="40"/>
    </row>
    <row r="1400" spans="1:3" x14ac:dyDescent="0.15">
      <c r="A1400" s="40"/>
      <c r="C1400" s="40"/>
    </row>
    <row r="1401" spans="1:3" x14ac:dyDescent="0.15">
      <c r="A1401" s="40"/>
      <c r="C1401" s="40"/>
    </row>
    <row r="1402" spans="1:3" x14ac:dyDescent="0.15">
      <c r="A1402" s="40"/>
      <c r="C1402" s="40"/>
    </row>
    <row r="1403" spans="1:3" x14ac:dyDescent="0.15">
      <c r="A1403" s="40"/>
      <c r="C1403" s="40"/>
    </row>
    <row r="1404" spans="1:3" x14ac:dyDescent="0.15">
      <c r="A1404" s="40"/>
      <c r="C1404" s="40"/>
    </row>
    <row r="1405" spans="1:3" x14ac:dyDescent="0.15">
      <c r="A1405" s="40"/>
      <c r="C1405" s="40"/>
    </row>
    <row r="1406" spans="1:3" x14ac:dyDescent="0.15">
      <c r="A1406" s="40"/>
      <c r="C1406" s="40"/>
    </row>
    <row r="1407" spans="1:3" x14ac:dyDescent="0.15">
      <c r="A1407" s="40"/>
      <c r="C1407" s="40"/>
    </row>
    <row r="1408" spans="1:3" x14ac:dyDescent="0.15">
      <c r="A1408" s="40"/>
      <c r="C1408" s="40"/>
    </row>
    <row r="1409" spans="1:3" x14ac:dyDescent="0.15">
      <c r="A1409" s="40"/>
      <c r="C1409" s="40"/>
    </row>
    <row r="1410" spans="1:3" x14ac:dyDescent="0.15">
      <c r="A1410" s="40"/>
      <c r="C1410" s="40"/>
    </row>
    <row r="1411" spans="1:3" x14ac:dyDescent="0.15">
      <c r="A1411" s="40"/>
      <c r="C1411" s="40"/>
    </row>
    <row r="1412" spans="1:3" x14ac:dyDescent="0.15">
      <c r="A1412" s="40"/>
      <c r="C1412" s="40"/>
    </row>
    <row r="1413" spans="1:3" x14ac:dyDescent="0.15">
      <c r="A1413" s="40"/>
      <c r="C1413" s="40"/>
    </row>
    <row r="1414" spans="1:3" x14ac:dyDescent="0.15">
      <c r="A1414" s="40"/>
      <c r="C1414" s="40"/>
    </row>
    <row r="1415" spans="1:3" x14ac:dyDescent="0.15">
      <c r="A1415" s="40"/>
      <c r="C1415" s="40"/>
    </row>
    <row r="1416" spans="1:3" x14ac:dyDescent="0.15">
      <c r="A1416" s="40"/>
      <c r="C1416" s="40"/>
    </row>
    <row r="1417" spans="1:3" x14ac:dyDescent="0.15">
      <c r="A1417" s="40"/>
      <c r="C1417" s="40"/>
    </row>
    <row r="1418" spans="1:3" x14ac:dyDescent="0.15">
      <c r="A1418" s="40"/>
      <c r="C1418" s="40"/>
    </row>
    <row r="1419" spans="1:3" x14ac:dyDescent="0.15">
      <c r="A1419" s="40"/>
      <c r="C1419" s="40"/>
    </row>
    <row r="1420" spans="1:3" x14ac:dyDescent="0.15">
      <c r="A1420" s="40"/>
      <c r="C1420" s="40"/>
    </row>
    <row r="1421" spans="1:3" x14ac:dyDescent="0.15">
      <c r="A1421" s="40"/>
      <c r="C1421" s="40"/>
    </row>
    <row r="1422" spans="1:3" x14ac:dyDescent="0.15">
      <c r="A1422" s="40"/>
      <c r="C1422" s="40"/>
    </row>
    <row r="1423" spans="1:3" x14ac:dyDescent="0.15">
      <c r="A1423" s="40"/>
      <c r="C1423" s="40"/>
    </row>
    <row r="1424" spans="1:3" x14ac:dyDescent="0.15">
      <c r="A1424" s="40"/>
      <c r="C1424" s="40"/>
    </row>
    <row r="1425" spans="1:3" x14ac:dyDescent="0.15">
      <c r="A1425" s="40"/>
      <c r="C1425" s="40"/>
    </row>
    <row r="1426" spans="1:3" x14ac:dyDescent="0.15">
      <c r="A1426" s="40"/>
      <c r="C1426" s="40"/>
    </row>
    <row r="1427" spans="1:3" x14ac:dyDescent="0.15">
      <c r="A1427" s="40"/>
      <c r="C1427" s="40"/>
    </row>
    <row r="1428" spans="1:3" x14ac:dyDescent="0.15">
      <c r="A1428" s="40"/>
      <c r="C1428" s="40"/>
    </row>
    <row r="1429" spans="1:3" x14ac:dyDescent="0.15">
      <c r="A1429" s="40"/>
      <c r="C1429" s="40"/>
    </row>
    <row r="1430" spans="1:3" x14ac:dyDescent="0.15">
      <c r="A1430" s="40"/>
      <c r="C1430" s="40"/>
    </row>
    <row r="1431" spans="1:3" x14ac:dyDescent="0.15">
      <c r="A1431" s="40"/>
      <c r="C1431" s="40"/>
    </row>
    <row r="1432" spans="1:3" x14ac:dyDescent="0.15">
      <c r="A1432" s="40"/>
    </row>
    <row r="1433" spans="1:3" x14ac:dyDescent="0.15">
      <c r="A1433" s="40"/>
    </row>
    <row r="1434" spans="1:3" x14ac:dyDescent="0.15">
      <c r="A1434" s="40"/>
    </row>
    <row r="1435" spans="1:3" x14ac:dyDescent="0.15">
      <c r="A1435" s="40"/>
    </row>
    <row r="1436" spans="1:3" x14ac:dyDescent="0.15">
      <c r="A1436" s="40"/>
    </row>
    <row r="1437" spans="1:3" x14ac:dyDescent="0.15">
      <c r="A1437" s="40"/>
    </row>
    <row r="1438" spans="1:3" x14ac:dyDescent="0.15">
      <c r="A1438" s="40"/>
    </row>
    <row r="1439" spans="1:3" x14ac:dyDescent="0.15">
      <c r="A1439" s="40"/>
    </row>
    <row r="1440" spans="1:3" x14ac:dyDescent="0.15">
      <c r="A1440" s="40"/>
    </row>
    <row r="1441" spans="1:1" x14ac:dyDescent="0.15">
      <c r="A1441" s="40"/>
    </row>
    <row r="1442" spans="1:1" x14ac:dyDescent="0.15">
      <c r="A1442" s="40"/>
    </row>
    <row r="1443" spans="1:1" x14ac:dyDescent="0.15">
      <c r="A1443" s="40"/>
    </row>
    <row r="1444" spans="1:1" x14ac:dyDescent="0.15">
      <c r="A1444" s="40"/>
    </row>
    <row r="1445" spans="1:1" x14ac:dyDescent="0.15">
      <c r="A1445" s="40"/>
    </row>
    <row r="1446" spans="1:1" x14ac:dyDescent="0.15">
      <c r="A1446" s="40"/>
    </row>
    <row r="1447" spans="1:1" x14ac:dyDescent="0.15">
      <c r="A1447" s="40"/>
    </row>
    <row r="1448" spans="1:1" x14ac:dyDescent="0.15">
      <c r="A1448" s="40"/>
    </row>
    <row r="1449" spans="1:1" x14ac:dyDescent="0.15">
      <c r="A1449" s="40"/>
    </row>
    <row r="1450" spans="1:1" x14ac:dyDescent="0.15">
      <c r="A1450" s="40"/>
    </row>
    <row r="1451" spans="1:1" x14ac:dyDescent="0.15">
      <c r="A1451" s="40"/>
    </row>
    <row r="1452" spans="1:1" x14ac:dyDescent="0.15">
      <c r="A1452" s="40"/>
    </row>
    <row r="1453" spans="1:1" x14ac:dyDescent="0.15">
      <c r="A1453" s="40"/>
    </row>
    <row r="1454" spans="1:1" x14ac:dyDescent="0.15">
      <c r="A1454" s="40"/>
    </row>
    <row r="1455" spans="1:1" x14ac:dyDescent="0.15">
      <c r="A1455" s="40"/>
    </row>
    <row r="1456" spans="1:1" x14ac:dyDescent="0.15">
      <c r="A1456" s="40"/>
    </row>
    <row r="1457" spans="1:1" x14ac:dyDescent="0.15">
      <c r="A1457" s="40"/>
    </row>
    <row r="1458" spans="1:1" x14ac:dyDescent="0.15">
      <c r="A1458" s="40"/>
    </row>
    <row r="1459" spans="1:1" x14ac:dyDescent="0.15">
      <c r="A1459" s="40"/>
    </row>
    <row r="1460" spans="1:1" x14ac:dyDescent="0.15">
      <c r="A1460" s="40"/>
    </row>
    <row r="1461" spans="1:1" x14ac:dyDescent="0.15">
      <c r="A1461" s="40"/>
    </row>
    <row r="1462" spans="1:1" x14ac:dyDescent="0.15">
      <c r="A1462" s="40"/>
    </row>
    <row r="1463" spans="1:1" x14ac:dyDescent="0.15">
      <c r="A1463" s="40"/>
    </row>
    <row r="1464" spans="1:1" x14ac:dyDescent="0.15">
      <c r="A1464" s="40"/>
    </row>
    <row r="1465" spans="1:1" x14ac:dyDescent="0.15">
      <c r="A1465" s="40"/>
    </row>
    <row r="1466" spans="1:1" x14ac:dyDescent="0.15">
      <c r="A1466" s="40"/>
    </row>
    <row r="1467" spans="1:1" x14ac:dyDescent="0.15">
      <c r="A1467" s="40"/>
    </row>
    <row r="1468" spans="1:1" x14ac:dyDescent="0.15">
      <c r="A1468" s="40"/>
    </row>
    <row r="1469" spans="1:1" x14ac:dyDescent="0.15">
      <c r="A1469" s="40"/>
    </row>
    <row r="1470" spans="1:1" x14ac:dyDescent="0.15">
      <c r="A1470" s="40"/>
    </row>
    <row r="1471" spans="1:1" x14ac:dyDescent="0.15">
      <c r="A1471" s="40"/>
    </row>
    <row r="1472" spans="1:1" x14ac:dyDescent="0.15">
      <c r="A1472" s="40"/>
    </row>
    <row r="1473" spans="1:1" x14ac:dyDescent="0.15">
      <c r="A1473" s="40"/>
    </row>
    <row r="1474" spans="1:1" x14ac:dyDescent="0.15">
      <c r="A1474" s="40"/>
    </row>
    <row r="1475" spans="1:1" x14ac:dyDescent="0.15">
      <c r="A1475" s="40"/>
    </row>
    <row r="1476" spans="1:1" x14ac:dyDescent="0.15">
      <c r="A1476" s="40"/>
    </row>
    <row r="1477" spans="1:1" x14ac:dyDescent="0.15">
      <c r="A1477" s="40"/>
    </row>
    <row r="1478" spans="1:1" x14ac:dyDescent="0.15">
      <c r="A1478" s="40"/>
    </row>
    <row r="1489" spans="3:3" x14ac:dyDescent="0.15">
      <c r="C1489" s="40"/>
    </row>
    <row r="1490" spans="3:3" x14ac:dyDescent="0.15">
      <c r="C1490" s="40"/>
    </row>
    <row r="1494" spans="3:3" x14ac:dyDescent="0.15">
      <c r="C1494" s="40"/>
    </row>
    <row r="1495" spans="3:3" x14ac:dyDescent="0.15">
      <c r="C1495" s="40"/>
    </row>
    <row r="1496" spans="3:3" x14ac:dyDescent="0.15">
      <c r="C1496" s="40"/>
    </row>
    <row r="1497" spans="3:3" x14ac:dyDescent="0.15">
      <c r="C1497" s="40"/>
    </row>
    <row r="1498" spans="3:3" x14ac:dyDescent="0.15">
      <c r="C1498" s="40"/>
    </row>
    <row r="1499" spans="3:3" x14ac:dyDescent="0.15">
      <c r="C1499" s="40"/>
    </row>
    <row r="1500" spans="3:3" x14ac:dyDescent="0.15">
      <c r="C1500" s="40"/>
    </row>
    <row r="1501" spans="3:3" x14ac:dyDescent="0.15">
      <c r="C1501" s="40"/>
    </row>
    <row r="1502" spans="3:3" x14ac:dyDescent="0.15">
      <c r="C1502" s="40"/>
    </row>
    <row r="1503" spans="3:3" x14ac:dyDescent="0.15">
      <c r="C1503" s="40"/>
    </row>
    <row r="1504" spans="3:3" x14ac:dyDescent="0.15">
      <c r="C1504" s="40"/>
    </row>
    <row r="1506" spans="3:3" x14ac:dyDescent="0.15">
      <c r="C1506" s="40"/>
    </row>
    <row r="1508" spans="3:3" x14ac:dyDescent="0.15">
      <c r="C1508" s="40"/>
    </row>
    <row r="1509" spans="3:3" x14ac:dyDescent="0.15">
      <c r="C1509" s="40"/>
    </row>
  </sheetData>
  <mergeCells count="1">
    <mergeCell ref="I8:J8"/>
  </mergeCells>
  <dataValidations count="1">
    <dataValidation type="list" allowBlank="1" showInputMessage="1" showErrorMessage="1" sqref="I12" xr:uid="{00000000-0002-0000-0000-000000000000}">
      <formula1>"User Input, Default"</formula1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SPOTSPA &amp; SPXFAST</vt:lpstr>
    </vt:vector>
  </TitlesOfParts>
  <Company>Family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Powell Larry</dc:creator>
  <cp:lastModifiedBy>Lawrence Powell</cp:lastModifiedBy>
  <dcterms:created xsi:type="dcterms:W3CDTF">2014-08-27T22:46:49Z</dcterms:created>
  <dcterms:modified xsi:type="dcterms:W3CDTF">2019-01-10T21:07:52Z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{60123130-AF3B-4EBE-93A6-450626EE8596}</vt:lpwstr>
  </property>
</Properties>
</file>